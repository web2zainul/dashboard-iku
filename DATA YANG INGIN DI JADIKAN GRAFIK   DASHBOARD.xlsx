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8_{0FF8B9D7-CB4B-495A-AE80-908C6543D719}" xr6:coauthVersionLast="47" xr6:coauthVersionMax="47" xr10:uidLastSave="{00000000-0000-0000-0000-000000000000}"/>
  <bookViews>
    <workbookView xWindow="-120" yWindow="-120" windowWidth="29040" windowHeight="15720" xr2:uid="{3EDDB2FA-1CBB-4EE1-B6AB-69CEA864C23B}"/>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75" i="1" l="1"/>
  <c r="R176" i="1" s="1"/>
  <c r="Q175" i="1"/>
  <c r="P175" i="1"/>
  <c r="P176" i="1" s="1"/>
  <c r="O175" i="1"/>
  <c r="N175" i="1"/>
  <c r="N176" i="1" s="1"/>
  <c r="L175" i="1"/>
  <c r="J175" i="1"/>
  <c r="I175" i="1"/>
  <c r="H175" i="1"/>
  <c r="H176" i="1" s="1"/>
  <c r="G175" i="1"/>
  <c r="F175" i="1"/>
  <c r="F176" i="1" s="1"/>
  <c r="T174" i="1"/>
  <c r="M174" i="1"/>
  <c r="M175" i="1" s="1"/>
  <c r="K174" i="1"/>
  <c r="R173" i="1"/>
  <c r="Q173" i="1"/>
  <c r="P173" i="1"/>
  <c r="T173" i="1" s="1"/>
  <c r="O173" i="1"/>
  <c r="N173" i="1"/>
  <c r="L173" i="1"/>
  <c r="J173" i="1"/>
  <c r="H173" i="1"/>
  <c r="F173" i="1"/>
  <c r="T172" i="1"/>
  <c r="M172" i="1"/>
  <c r="K172" i="1"/>
  <c r="S172" i="1" s="1"/>
  <c r="T171" i="1"/>
  <c r="M171" i="1"/>
  <c r="K171" i="1"/>
  <c r="S171" i="1" s="1"/>
  <c r="R170" i="1"/>
  <c r="Q170" i="1"/>
  <c r="P170" i="1"/>
  <c r="L170" i="1"/>
  <c r="T170" i="1" s="1"/>
  <c r="V170" i="1" s="1"/>
  <c r="J170" i="1"/>
  <c r="X170" i="1" s="1"/>
  <c r="Z170" i="1" s="1"/>
  <c r="H170" i="1"/>
  <c r="F170" i="1"/>
  <c r="T169" i="1"/>
  <c r="M169" i="1"/>
  <c r="K169" i="1"/>
  <c r="S169" i="1" s="1"/>
  <c r="T168" i="1"/>
  <c r="M168" i="1"/>
  <c r="K168" i="1"/>
  <c r="S168" i="1" s="1"/>
  <c r="T167" i="1"/>
  <c r="M167" i="1"/>
  <c r="K167" i="1"/>
  <c r="S167" i="1" s="1"/>
  <c r="T166" i="1"/>
  <c r="M166" i="1"/>
  <c r="K166" i="1"/>
  <c r="S166" i="1" s="1"/>
  <c r="AC98" i="1"/>
  <c r="AB97" i="1"/>
  <c r="AD97" i="1" s="1"/>
  <c r="AA97" i="1"/>
  <c r="AC97" i="1" s="1"/>
  <c r="Z97" i="1"/>
  <c r="Y97" i="1"/>
  <c r="AB96" i="1"/>
  <c r="AD96" i="1" s="1"/>
  <c r="AA96" i="1"/>
  <c r="AC96" i="1" s="1"/>
  <c r="AB95" i="1"/>
  <c r="AD95" i="1" s="1"/>
  <c r="AA95" i="1"/>
  <c r="AC95" i="1" s="1"/>
  <c r="Y95" i="1"/>
  <c r="N95" i="1"/>
  <c r="Z95" i="1" s="1"/>
  <c r="L95" i="1"/>
  <c r="J95" i="1"/>
  <c r="AB94" i="1"/>
  <c r="AD94" i="1" s="1"/>
  <c r="W94" i="1"/>
  <c r="N94" i="1"/>
  <c r="Z94" i="1" s="1"/>
  <c r="L94" i="1"/>
  <c r="J94" i="1"/>
  <c r="X93" i="1"/>
  <c r="W93" i="1"/>
  <c r="AA93" i="1" s="1"/>
  <c r="AC93" i="1" s="1"/>
  <c r="AA92" i="1"/>
  <c r="AC92" i="1" s="1"/>
  <c r="Y92" i="1"/>
  <c r="X92" i="1"/>
  <c r="N92" i="1"/>
  <c r="N91" i="1" s="1"/>
  <c r="N90" i="1" s="1"/>
  <c r="N89" i="1" s="1"/>
  <c r="N98" i="1" s="1"/>
  <c r="L92" i="1"/>
  <c r="L91" i="1" s="1"/>
  <c r="L90" i="1" s="1"/>
  <c r="L89" i="1" s="1"/>
  <c r="J92" i="1"/>
  <c r="J91" i="1" s="1"/>
  <c r="J90" i="1" s="1"/>
  <c r="J89" i="1" s="1"/>
  <c r="Q91" i="1"/>
  <c r="O91" i="1"/>
  <c r="W91" i="1" s="1"/>
  <c r="AA91" i="1" s="1"/>
  <c r="AC91" i="1" s="1"/>
  <c r="AC90" i="1"/>
  <c r="V90" i="1"/>
  <c r="T90" i="1"/>
  <c r="R90" i="1"/>
  <c r="P90" i="1"/>
  <c r="AC89" i="1"/>
  <c r="V89" i="1"/>
  <c r="V98" i="1" s="1"/>
  <c r="T89" i="1"/>
  <c r="T98" i="1" s="1"/>
  <c r="R89" i="1"/>
  <c r="P89" i="1"/>
  <c r="W88" i="1"/>
  <c r="R88" i="1"/>
  <c r="P88" i="1"/>
  <c r="X88" i="1" s="1"/>
  <c r="W87" i="1"/>
  <c r="R87" i="1"/>
  <c r="P87" i="1"/>
  <c r="X87" i="1" s="1"/>
  <c r="AA86" i="1"/>
  <c r="AC86" i="1" s="1"/>
  <c r="R86" i="1"/>
  <c r="R85" i="1" s="1"/>
  <c r="R84" i="1" s="1"/>
  <c r="R83" i="1" s="1"/>
  <c r="P86" i="1"/>
  <c r="X86" i="1" s="1"/>
  <c r="AB86" i="1" s="1"/>
  <c r="AD86" i="1" s="1"/>
  <c r="W85" i="1"/>
  <c r="AA85" i="1" s="1"/>
  <c r="AC85" i="1" s="1"/>
  <c r="P85" i="1"/>
  <c r="X85" i="1" s="1"/>
  <c r="AB85" i="1" s="1"/>
  <c r="AD85" i="1" s="1"/>
  <c r="W84" i="1"/>
  <c r="P84" i="1"/>
  <c r="X84" i="1" s="1"/>
  <c r="W83" i="1"/>
  <c r="V83" i="1"/>
  <c r="T83" i="1"/>
  <c r="P83" i="1"/>
  <c r="N83" i="1"/>
  <c r="L83" i="1"/>
  <c r="J83" i="1"/>
  <c r="W82" i="1"/>
  <c r="V82" i="1"/>
  <c r="T82" i="1"/>
  <c r="P82" i="1"/>
  <c r="N82" i="1"/>
  <c r="L82" i="1"/>
  <c r="J82" i="1"/>
  <c r="X81" i="1"/>
  <c r="W81" i="1"/>
  <c r="W80" i="1"/>
  <c r="AA80" i="1" s="1"/>
  <c r="P80" i="1"/>
  <c r="W79" i="1"/>
  <c r="W78" i="1"/>
  <c r="AA78" i="1" s="1"/>
  <c r="AC77" i="1"/>
  <c r="W77" i="1"/>
  <c r="Y77" i="1" s="1"/>
  <c r="V77" i="1"/>
  <c r="T77" i="1"/>
  <c r="R77" i="1"/>
  <c r="N77" i="1"/>
  <c r="L77" i="1"/>
  <c r="J77" i="1"/>
  <c r="AC76" i="1"/>
  <c r="V76" i="1"/>
  <c r="T76" i="1"/>
  <c r="R76" i="1"/>
  <c r="Q76" i="1"/>
  <c r="O76" i="1"/>
  <c r="W76" i="1" s="1"/>
  <c r="Y76" i="1" s="1"/>
  <c r="N76" i="1"/>
  <c r="N62" i="1" s="1"/>
  <c r="L76" i="1"/>
  <c r="J76" i="1"/>
  <c r="X75" i="1"/>
  <c r="W75" i="1"/>
  <c r="X74" i="1"/>
  <c r="W74" i="1"/>
  <c r="AB73" i="1"/>
  <c r="AA73" i="1"/>
  <c r="AC73" i="1" s="1"/>
  <c r="Z73" i="1"/>
  <c r="X73" i="1"/>
  <c r="W73" i="1"/>
  <c r="Y73" i="1" s="1"/>
  <c r="AC72" i="1"/>
  <c r="W72" i="1"/>
  <c r="Y72" i="1" s="1"/>
  <c r="V72" i="1"/>
  <c r="T72" i="1"/>
  <c r="R72" i="1"/>
  <c r="P72" i="1"/>
  <c r="N72" i="1"/>
  <c r="L72" i="1"/>
  <c r="J72" i="1"/>
  <c r="AC71" i="1"/>
  <c r="W71" i="1"/>
  <c r="Y71" i="1" s="1"/>
  <c r="V71" i="1"/>
  <c r="T71" i="1"/>
  <c r="R71" i="1"/>
  <c r="P71" i="1"/>
  <c r="N71" i="1"/>
  <c r="L71" i="1"/>
  <c r="J71" i="1"/>
  <c r="X70" i="1"/>
  <c r="AB70" i="1" s="1"/>
  <c r="W70" i="1"/>
  <c r="AA70" i="1" s="1"/>
  <c r="X69" i="1"/>
  <c r="AB69" i="1" s="1"/>
  <c r="AD69" i="1" s="1"/>
  <c r="W69" i="1"/>
  <c r="X68" i="1"/>
  <c r="AB68" i="1" s="1"/>
  <c r="AD68" i="1" s="1"/>
  <c r="W68" i="1"/>
  <c r="AA67" i="1"/>
  <c r="AC67" i="1" s="1"/>
  <c r="Y67" i="1"/>
  <c r="X67" i="1"/>
  <c r="AB67" i="1" s="1"/>
  <c r="AD67" i="1" s="1"/>
  <c r="X66" i="1"/>
  <c r="AB66" i="1" s="1"/>
  <c r="AD66" i="1" s="1"/>
  <c r="W66" i="1"/>
  <c r="AA65" i="1"/>
  <c r="X65" i="1"/>
  <c r="AB65" i="1" s="1"/>
  <c r="AB64" i="1" s="1"/>
  <c r="AC64" i="1"/>
  <c r="X64" i="1"/>
  <c r="Z64" i="1" s="1"/>
  <c r="W64" i="1"/>
  <c r="Y64" i="1" s="1"/>
  <c r="V64" i="1"/>
  <c r="T64" i="1"/>
  <c r="R64" i="1"/>
  <c r="P64" i="1"/>
  <c r="N64" i="1"/>
  <c r="L64" i="1"/>
  <c r="J64" i="1"/>
  <c r="W63" i="1"/>
  <c r="V63" i="1"/>
  <c r="T63" i="1"/>
  <c r="P63" i="1"/>
  <c r="N63" i="1"/>
  <c r="L63" i="1"/>
  <c r="J63" i="1"/>
  <c r="AC62" i="1"/>
  <c r="V62" i="1"/>
  <c r="T62" i="1"/>
  <c r="L62" i="1"/>
  <c r="J62" i="1"/>
  <c r="AD62" i="1" s="1"/>
  <c r="X60" i="1"/>
  <c r="AB60" i="1" s="1"/>
  <c r="AD60" i="1" s="1"/>
  <c r="W60" i="1"/>
  <c r="AA60" i="1" s="1"/>
  <c r="AC60" i="1" s="1"/>
  <c r="X59" i="1"/>
  <c r="AB59" i="1" s="1"/>
  <c r="AD59" i="1" s="1"/>
  <c r="W59" i="1"/>
  <c r="AA59" i="1" s="1"/>
  <c r="AC59" i="1" s="1"/>
  <c r="Y58" i="1"/>
  <c r="X58" i="1"/>
  <c r="W58" i="1"/>
  <c r="AA58" i="1" s="1"/>
  <c r="AC58" i="1" s="1"/>
  <c r="AA57" i="1"/>
  <c r="AC57" i="1" s="1"/>
  <c r="X57" i="1"/>
  <c r="AB57" i="1" s="1"/>
  <c r="AD57" i="1" s="1"/>
  <c r="X56" i="1"/>
  <c r="W56" i="1"/>
  <c r="X55" i="1"/>
  <c r="W55" i="1"/>
  <c r="X54" i="1"/>
  <c r="Z54" i="1" s="1"/>
  <c r="W54" i="1"/>
  <c r="V54" i="1"/>
  <c r="T54" i="1"/>
  <c r="R54" i="1"/>
  <c r="P54" i="1"/>
  <c r="N54" i="1"/>
  <c r="L54" i="1"/>
  <c r="J54" i="1"/>
  <c r="AA53" i="1"/>
  <c r="AC53" i="1" s="1"/>
  <c r="Y53" i="1"/>
  <c r="X53" i="1"/>
  <c r="X52" i="1"/>
  <c r="W52" i="1"/>
  <c r="AA51" i="1"/>
  <c r="AC51" i="1" s="1"/>
  <c r="Y51" i="1"/>
  <c r="X51" i="1"/>
  <c r="AA50" i="1"/>
  <c r="AC50" i="1" s="1"/>
  <c r="W50" i="1"/>
  <c r="Y50" i="1" s="1"/>
  <c r="V50" i="1"/>
  <c r="T50" i="1"/>
  <c r="R50" i="1"/>
  <c r="P50" i="1"/>
  <c r="N50" i="1"/>
  <c r="L50" i="1"/>
  <c r="J50" i="1"/>
  <c r="X49" i="1"/>
  <c r="W49" i="1"/>
  <c r="X48" i="1"/>
  <c r="AB48" i="1" s="1"/>
  <c r="AD48" i="1" s="1"/>
  <c r="W48" i="1"/>
  <c r="AA48" i="1" s="1"/>
  <c r="AC48" i="1" s="1"/>
  <c r="AA47" i="1"/>
  <c r="AC47" i="1" s="1"/>
  <c r="X47" i="1"/>
  <c r="AB47" i="1" s="1"/>
  <c r="AB46" i="1"/>
  <c r="AD46" i="1" s="1"/>
  <c r="W46" i="1"/>
  <c r="AA46" i="1" s="1"/>
  <c r="AC46" i="1" s="1"/>
  <c r="AB45" i="1"/>
  <c r="AD45" i="1" s="1"/>
  <c r="W45" i="1"/>
  <c r="AA45" i="1" s="1"/>
  <c r="AC45" i="1" s="1"/>
  <c r="X44" i="1"/>
  <c r="Z44" i="1" s="1"/>
  <c r="W44" i="1"/>
  <c r="V44" i="1"/>
  <c r="T44" i="1"/>
  <c r="R44" i="1"/>
  <c r="P44" i="1"/>
  <c r="N44" i="1"/>
  <c r="L44" i="1"/>
  <c r="J44" i="1"/>
  <c r="X43" i="1"/>
  <c r="W43" i="1"/>
  <c r="AA43" i="1" s="1"/>
  <c r="AC43" i="1" s="1"/>
  <c r="X42" i="1"/>
  <c r="W42" i="1"/>
  <c r="X41" i="1"/>
  <c r="W41" i="1"/>
  <c r="X40" i="1"/>
  <c r="W40" i="1"/>
  <c r="X39" i="1"/>
  <c r="W39" i="1"/>
  <c r="X38" i="1"/>
  <c r="W38" i="1"/>
  <c r="X37" i="1"/>
  <c r="W37" i="1"/>
  <c r="W36" i="1"/>
  <c r="R36" i="1"/>
  <c r="P36" i="1"/>
  <c r="N36" i="1"/>
  <c r="L36" i="1"/>
  <c r="J36" i="1"/>
  <c r="AB35" i="1"/>
  <c r="AD35" i="1" s="1"/>
  <c r="X35" i="1"/>
  <c r="W35" i="1"/>
  <c r="AA35" i="1" s="1"/>
  <c r="AC35" i="1" s="1"/>
  <c r="X34" i="1"/>
  <c r="AB34" i="1" s="1"/>
  <c r="AD34" i="1" s="1"/>
  <c r="W34" i="1"/>
  <c r="AA34" i="1" s="1"/>
  <c r="AC34" i="1" s="1"/>
  <c r="W33" i="1"/>
  <c r="AA33" i="1" s="1"/>
  <c r="AC33" i="1" s="1"/>
  <c r="V33" i="1"/>
  <c r="T33" i="1"/>
  <c r="R33" i="1"/>
  <c r="R19" i="1" s="1"/>
  <c r="P33" i="1"/>
  <c r="L33" i="1"/>
  <c r="J33" i="1"/>
  <c r="AD33" i="1" s="1"/>
  <c r="X32" i="1"/>
  <c r="AB32" i="1" s="1"/>
  <c r="AD32" i="1" s="1"/>
  <c r="W32" i="1"/>
  <c r="AA32" i="1" s="1"/>
  <c r="AC32" i="1" s="1"/>
  <c r="Z31" i="1"/>
  <c r="X31" i="1"/>
  <c r="W31" i="1"/>
  <c r="AA31" i="1" s="1"/>
  <c r="AC31" i="1" s="1"/>
  <c r="V31" i="1"/>
  <c r="P31" i="1"/>
  <c r="P19" i="1" s="1"/>
  <c r="X19" i="1" s="1"/>
  <c r="N31" i="1"/>
  <c r="N19" i="1" s="1"/>
  <c r="L31" i="1"/>
  <c r="J31" i="1"/>
  <c r="J19" i="1" s="1"/>
  <c r="X30" i="1"/>
  <c r="W30" i="1"/>
  <c r="X29" i="1"/>
  <c r="W29" i="1"/>
  <c r="X28" i="1"/>
  <c r="W28" i="1"/>
  <c r="V28" i="1"/>
  <c r="R28" i="1"/>
  <c r="P28" i="1"/>
  <c r="N28" i="1"/>
  <c r="L28" i="1"/>
  <c r="J28" i="1"/>
  <c r="X27" i="1"/>
  <c r="W27" i="1"/>
  <c r="X26" i="1"/>
  <c r="W26" i="1"/>
  <c r="X25" i="1"/>
  <c r="W25" i="1"/>
  <c r="X24" i="1"/>
  <c r="W24" i="1"/>
  <c r="X23" i="1"/>
  <c r="W23" i="1"/>
  <c r="X22" i="1"/>
  <c r="W22" i="1"/>
  <c r="X21" i="1"/>
  <c r="W21" i="1"/>
  <c r="V20" i="1"/>
  <c r="T20" i="1"/>
  <c r="R20" i="1"/>
  <c r="Q20" i="1"/>
  <c r="P20" i="1"/>
  <c r="O20" i="1"/>
  <c r="W20" i="1" s="1"/>
  <c r="N20" i="1"/>
  <c r="L20" i="1"/>
  <c r="J20" i="1"/>
  <c r="W19" i="1"/>
  <c r="T175" i="1" l="1"/>
  <c r="L176" i="1"/>
  <c r="J176" i="1"/>
  <c r="X175" i="1"/>
  <c r="V174" i="1"/>
  <c r="X174" i="1"/>
  <c r="Z174" i="1" s="1"/>
  <c r="K175" i="1"/>
  <c r="S175" i="1" s="1"/>
  <c r="S174" i="1"/>
  <c r="X173" i="1"/>
  <c r="Z173" i="1" s="1"/>
  <c r="V173" i="1"/>
  <c r="X172" i="1"/>
  <c r="Z172" i="1" s="1"/>
  <c r="V172" i="1"/>
  <c r="U172" i="1"/>
  <c r="W172" i="1"/>
  <c r="Y172" i="1" s="1"/>
  <c r="V171" i="1"/>
  <c r="X171" i="1"/>
  <c r="Z171" i="1" s="1"/>
  <c r="U171" i="1"/>
  <c r="W171" i="1"/>
  <c r="Y171" i="1" s="1"/>
  <c r="X169" i="1"/>
  <c r="Z169" i="1" s="1"/>
  <c r="V169" i="1"/>
  <c r="U169" i="1"/>
  <c r="W169" i="1"/>
  <c r="Y169" i="1" s="1"/>
  <c r="X168" i="1"/>
  <c r="Z168" i="1" s="1"/>
  <c r="V168" i="1"/>
  <c r="U168" i="1"/>
  <c r="W168" i="1"/>
  <c r="Y168" i="1" s="1"/>
  <c r="X167" i="1"/>
  <c r="Z167" i="1" s="1"/>
  <c r="V167" i="1"/>
  <c r="U167" i="1"/>
  <c r="W167" i="1"/>
  <c r="Y167" i="1" s="1"/>
  <c r="X166" i="1"/>
  <c r="Z166" i="1" s="1"/>
  <c r="V166" i="1"/>
  <c r="U166" i="1"/>
  <c r="W166" i="1"/>
  <c r="Y166" i="1" s="1"/>
  <c r="Y94" i="1"/>
  <c r="AA94" i="1"/>
  <c r="AC94" i="1" s="1"/>
  <c r="Z93" i="1"/>
  <c r="AB93" i="1"/>
  <c r="Z92" i="1"/>
  <c r="X91" i="1"/>
  <c r="Z91" i="1" s="1"/>
  <c r="Z90" i="1" s="1"/>
  <c r="Z89" i="1" s="1"/>
  <c r="X90" i="1"/>
  <c r="X89" i="1" s="1"/>
  <c r="Y88" i="1"/>
  <c r="AA88" i="1"/>
  <c r="AC88" i="1" s="1"/>
  <c r="Z88" i="1"/>
  <c r="AB88" i="1"/>
  <c r="AD88" i="1" s="1"/>
  <c r="AA87" i="1"/>
  <c r="AC87" i="1" s="1"/>
  <c r="Y87" i="1"/>
  <c r="Z87" i="1"/>
  <c r="AB87" i="1"/>
  <c r="AD87" i="1" s="1"/>
  <c r="R63" i="1"/>
  <c r="R62" i="1" s="1"/>
  <c r="R98" i="1" s="1"/>
  <c r="R82" i="1"/>
  <c r="AA84" i="1"/>
  <c r="AC84" i="1" s="1"/>
  <c r="Y84" i="1"/>
  <c r="Z84" i="1"/>
  <c r="AB84" i="1"/>
  <c r="AD84" i="1" s="1"/>
  <c r="X83" i="1"/>
  <c r="AA83" i="1"/>
  <c r="AC83" i="1" s="1"/>
  <c r="Y83" i="1"/>
  <c r="Y82" i="1"/>
  <c r="AA82" i="1"/>
  <c r="AC82" i="1" s="1"/>
  <c r="AB81" i="1"/>
  <c r="AD81" i="1" s="1"/>
  <c r="Z81" i="1"/>
  <c r="Y81" i="1"/>
  <c r="AA81" i="1"/>
  <c r="AC81" i="1" s="1"/>
  <c r="P79" i="1"/>
  <c r="X80" i="1"/>
  <c r="AB80" i="1" s="1"/>
  <c r="AA79" i="1"/>
  <c r="AC79" i="1" s="1"/>
  <c r="Y79" i="1"/>
  <c r="Z75" i="1"/>
  <c r="AB75" i="1"/>
  <c r="AD75" i="1" s="1"/>
  <c r="Y75" i="1"/>
  <c r="AA75" i="1"/>
  <c r="AC75" i="1" s="1"/>
  <c r="AB74" i="1"/>
  <c r="X72" i="1"/>
  <c r="Z74" i="1"/>
  <c r="AA74" i="1"/>
  <c r="AC74" i="1" s="1"/>
  <c r="Y74" i="1"/>
  <c r="AD73" i="1"/>
  <c r="Y69" i="1"/>
  <c r="AA69" i="1"/>
  <c r="AC69" i="1" s="1"/>
  <c r="Y68" i="1"/>
  <c r="AA68" i="1"/>
  <c r="AC68" i="1" s="1"/>
  <c r="Y66" i="1"/>
  <c r="AA66" i="1"/>
  <c r="AC66" i="1" s="1"/>
  <c r="AD64" i="1"/>
  <c r="Y63" i="1"/>
  <c r="AA63" i="1"/>
  <c r="AC63" i="1" s="1"/>
  <c r="Z58" i="1"/>
  <c r="AB58" i="1"/>
  <c r="AD58" i="1" s="1"/>
  <c r="Z56" i="1"/>
  <c r="AB56" i="1"/>
  <c r="AD56" i="1" s="1"/>
  <c r="AA56" i="1"/>
  <c r="AC56" i="1" s="1"/>
  <c r="Y56" i="1"/>
  <c r="Z55" i="1"/>
  <c r="AB55" i="1"/>
  <c r="Y55" i="1"/>
  <c r="AA55" i="1"/>
  <c r="AC55" i="1" s="1"/>
  <c r="AA54" i="1"/>
  <c r="AC54" i="1" s="1"/>
  <c r="Y54" i="1"/>
  <c r="AB53" i="1"/>
  <c r="AD53" i="1" s="1"/>
  <c r="Z53" i="1"/>
  <c r="AB52" i="1"/>
  <c r="AD52" i="1" s="1"/>
  <c r="Z52" i="1"/>
  <c r="Y52" i="1"/>
  <c r="AA52" i="1"/>
  <c r="AC52" i="1" s="1"/>
  <c r="AB51" i="1"/>
  <c r="Z51" i="1"/>
  <c r="X50" i="1"/>
  <c r="Z50" i="1" s="1"/>
  <c r="AB49" i="1"/>
  <c r="AD49" i="1" s="1"/>
  <c r="Z49" i="1"/>
  <c r="AA49" i="1"/>
  <c r="AC49" i="1" s="1"/>
  <c r="Y49" i="1"/>
  <c r="AD47" i="1"/>
  <c r="AB44" i="1"/>
  <c r="AD44" i="1" s="1"/>
  <c r="Y44" i="1"/>
  <c r="AA44" i="1"/>
  <c r="AC44" i="1" s="1"/>
  <c r="AB43" i="1"/>
  <c r="AD43" i="1" s="1"/>
  <c r="X36" i="1"/>
  <c r="Z42" i="1"/>
  <c r="AB42" i="1"/>
  <c r="AD42" i="1" s="1"/>
  <c r="Y42" i="1"/>
  <c r="AA42" i="1"/>
  <c r="AC42" i="1" s="1"/>
  <c r="AB41" i="1"/>
  <c r="AD41" i="1" s="1"/>
  <c r="Z41" i="1"/>
  <c r="Y41" i="1"/>
  <c r="AA41" i="1"/>
  <c r="AC41" i="1" s="1"/>
  <c r="AB40" i="1"/>
  <c r="AD40" i="1" s="1"/>
  <c r="Z40" i="1"/>
  <c r="AA40" i="1"/>
  <c r="AC40" i="1" s="1"/>
  <c r="Y40" i="1"/>
  <c r="Z39" i="1"/>
  <c r="AB39" i="1"/>
  <c r="AD39" i="1" s="1"/>
  <c r="AA39" i="1"/>
  <c r="AC39" i="1" s="1"/>
  <c r="Y39" i="1"/>
  <c r="AB38" i="1"/>
  <c r="AD38" i="1" s="1"/>
  <c r="Z38" i="1"/>
  <c r="AA38" i="1"/>
  <c r="AC38" i="1" s="1"/>
  <c r="Y38" i="1"/>
  <c r="Z37" i="1"/>
  <c r="AB37" i="1"/>
  <c r="AD37" i="1" s="1"/>
  <c r="Y37" i="1"/>
  <c r="AA37" i="1"/>
  <c r="AC37" i="1" s="1"/>
  <c r="AA36" i="1"/>
  <c r="AC36" i="1" s="1"/>
  <c r="Y36" i="1"/>
  <c r="L19" i="1"/>
  <c r="AB31" i="1"/>
  <c r="AD31" i="1" s="1"/>
  <c r="Z30" i="1"/>
  <c r="AB30" i="1"/>
  <c r="AD30" i="1" s="1"/>
  <c r="Y30" i="1"/>
  <c r="AA30" i="1"/>
  <c r="AC30" i="1" s="1"/>
  <c r="AB29" i="1"/>
  <c r="AD29" i="1" s="1"/>
  <c r="Z29" i="1"/>
  <c r="AA29" i="1"/>
  <c r="AC29" i="1" s="1"/>
  <c r="Y29" i="1"/>
  <c r="AB28" i="1"/>
  <c r="AD28" i="1" s="1"/>
  <c r="Z28" i="1"/>
  <c r="AA28" i="1"/>
  <c r="AC28" i="1" s="1"/>
  <c r="Y28" i="1"/>
  <c r="AB27" i="1"/>
  <c r="AD27" i="1" s="1"/>
  <c r="Z27" i="1"/>
  <c r="AA27" i="1"/>
  <c r="AC27" i="1" s="1"/>
  <c r="Y27" i="1"/>
  <c r="Z26" i="1"/>
  <c r="AB26" i="1"/>
  <c r="AD26" i="1" s="1"/>
  <c r="AA26" i="1"/>
  <c r="AC26" i="1" s="1"/>
  <c r="Y26" i="1"/>
  <c r="Z25" i="1"/>
  <c r="AB25" i="1"/>
  <c r="AD25" i="1" s="1"/>
  <c r="Y25" i="1"/>
  <c r="AA25" i="1"/>
  <c r="AC25" i="1" s="1"/>
  <c r="AB24" i="1"/>
  <c r="AD24" i="1" s="1"/>
  <c r="Z24" i="1"/>
  <c r="AA24" i="1"/>
  <c r="AC24" i="1" s="1"/>
  <c r="Y24" i="1"/>
  <c r="Z23" i="1"/>
  <c r="AB23" i="1"/>
  <c r="AD23" i="1" s="1"/>
  <c r="Y23" i="1"/>
  <c r="AA23" i="1"/>
  <c r="AC23" i="1" s="1"/>
  <c r="Z22" i="1"/>
  <c r="AB22" i="1"/>
  <c r="AD22" i="1" s="1"/>
  <c r="Y22" i="1"/>
  <c r="AA22" i="1"/>
  <c r="AC22" i="1" s="1"/>
  <c r="Z21" i="1"/>
  <c r="AB21" i="1"/>
  <c r="AD21" i="1" s="1"/>
  <c r="X20" i="1"/>
  <c r="AA21" i="1"/>
  <c r="AC21" i="1" s="1"/>
  <c r="Y21" i="1"/>
  <c r="Y20" i="1"/>
  <c r="AA20" i="1"/>
  <c r="AC20" i="1" s="1"/>
  <c r="Y19" i="1"/>
  <c r="AA19" i="1"/>
  <c r="AC19" i="1" s="1"/>
  <c r="W98" i="1"/>
  <c r="Y98" i="1" s="1"/>
  <c r="J98" i="1"/>
  <c r="AD98" i="1" s="1"/>
  <c r="Z19" i="1"/>
  <c r="V175" i="1" l="1"/>
  <c r="T176" i="1"/>
  <c r="W175" i="1"/>
  <c r="U175" i="1"/>
  <c r="U174" i="1"/>
  <c r="U176" i="1" s="1"/>
  <c r="W174" i="1"/>
  <c r="Y174" i="1" s="1"/>
  <c r="AD93" i="1"/>
  <c r="AB91" i="1"/>
  <c r="AD91" i="1" s="1"/>
  <c r="AB92" i="1"/>
  <c r="AB83" i="1"/>
  <c r="AD83" i="1" s="1"/>
  <c r="Z83" i="1"/>
  <c r="X82" i="1"/>
  <c r="X79" i="1"/>
  <c r="P78" i="1"/>
  <c r="Z72" i="1"/>
  <c r="X71" i="1"/>
  <c r="Z71" i="1" s="1"/>
  <c r="AD55" i="1"/>
  <c r="AB54" i="1"/>
  <c r="AD54" i="1" s="1"/>
  <c r="AD51" i="1"/>
  <c r="AB50" i="1"/>
  <c r="AD50" i="1" s="1"/>
  <c r="AB36" i="1"/>
  <c r="AD36" i="1" s="1"/>
  <c r="Z36" i="1"/>
  <c r="L98" i="1"/>
  <c r="AB19" i="1"/>
  <c r="AD19" i="1" s="1"/>
  <c r="AB20" i="1"/>
  <c r="AD20" i="1" s="1"/>
  <c r="Z20" i="1"/>
  <c r="AD74" i="1"/>
  <c r="AB72" i="1"/>
  <c r="X176" i="1" l="1"/>
  <c r="V176" i="1"/>
  <c r="AB90" i="1"/>
  <c r="AD92" i="1"/>
  <c r="AB82" i="1"/>
  <c r="AD82" i="1" s="1"/>
  <c r="Z82" i="1"/>
  <c r="Z79" i="1"/>
  <c r="AB79" i="1"/>
  <c r="AD79" i="1" s="1"/>
  <c r="X78" i="1"/>
  <c r="P77" i="1"/>
  <c r="P76" i="1" s="1"/>
  <c r="P62" i="1" s="1"/>
  <c r="P98" i="1" s="1"/>
  <c r="O98" i="1" s="1"/>
  <c r="AB71" i="1"/>
  <c r="AD72" i="1"/>
  <c r="AD90" i="1" l="1"/>
  <c r="AB89" i="1"/>
  <c r="AD89" i="1" s="1"/>
  <c r="AB78" i="1"/>
  <c r="X77" i="1"/>
  <c r="AD71" i="1"/>
  <c r="X63" i="1" l="1"/>
  <c r="AB77" i="1"/>
  <c r="Z77" i="1"/>
  <c r="X76" i="1"/>
  <c r="Z76" i="1" s="1"/>
  <c r="Z63" i="1" l="1"/>
  <c r="X62" i="1"/>
  <c r="AD77" i="1"/>
  <c r="AB76" i="1"/>
  <c r="X98" i="1" l="1"/>
  <c r="Z98" i="1" s="1"/>
  <c r="Z62" i="1"/>
  <c r="AB63" i="1"/>
  <c r="AD63" i="1" s="1"/>
  <c r="AD7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K35" authorId="0" shapeId="0" xr:uid="{C5AB5462-1C26-4B41-A884-244871F03EC1}">
      <text>
        <r>
          <rPr>
            <b/>
            <sz val="9"/>
            <color indexed="81"/>
            <rFont val="Tahoma"/>
            <family val="2"/>
          </rPr>
          <t>ASUS:</t>
        </r>
        <r>
          <rPr>
            <sz val="9"/>
            <color indexed="81"/>
            <rFont val="Tahoma"/>
            <family val="2"/>
          </rPr>
          <t xml:space="preserve">
50 di renja perubahan</t>
        </r>
      </text>
    </comment>
    <comment ref="M35" authorId="0" shapeId="0" xr:uid="{C4ADFE23-9317-488F-8F6E-27F3C8ADF7E9}">
      <text>
        <r>
          <rPr>
            <b/>
            <sz val="9"/>
            <color indexed="81"/>
            <rFont val="Tahoma"/>
            <family val="2"/>
          </rPr>
          <t>ASUS:</t>
        </r>
        <r>
          <rPr>
            <sz val="9"/>
            <color indexed="81"/>
            <rFont val="Tahoma"/>
            <family val="2"/>
          </rPr>
          <t xml:space="preserve">
50 di renja perubahan</t>
        </r>
      </text>
    </comment>
  </commentList>
</comments>
</file>

<file path=xl/sharedStrings.xml><?xml version="1.0" encoding="utf-8"?>
<sst xmlns="http://schemas.openxmlformats.org/spreadsheetml/2006/main" count="708" uniqueCount="286">
  <si>
    <t>Formulir E.81</t>
  </si>
  <si>
    <t>Evaluasi Terhadap Hasil Renja Perangkat Daerah Lingkup Kota Cirebon
Renja Perangkat Daerah Badan Kepegawaian Dan Pengembangan Sumber Daya Manusia Kota Cirebon
Periode Pelaksanaan: 2026</t>
  </si>
  <si>
    <t xml:space="preserve">Indikator dan target kinerja Perangkat Daerah Kabupaten/Kota yang mengacu pada sasaran RKPD: </t>
  </si>
  <si>
    <t xml:space="preserve">1. Indeks Kematangan Organisasi </t>
  </si>
  <si>
    <t xml:space="preserve">2. Persentase Perencanaan Kebutuhan yang sesuai dengan Formasi </t>
  </si>
  <si>
    <t>3. Persentase Pengembangan Karir ASN sesuai dengan Kompetensinya</t>
  </si>
  <si>
    <t xml:space="preserve">4. Persentase ASN yang Ditingkatkan Kompetensinya </t>
  </si>
  <si>
    <t xml:space="preserve">5. Persentase Pegawai dengan SKP Bernilai Baik </t>
  </si>
  <si>
    <t xml:space="preserve">6. Persentase ASN yang Mendapatkan Pengembangan Kompetensi Teknis </t>
  </si>
  <si>
    <t>7. Persentase Realisasi Pendidikan dan Pelatihan yang Dilaksanakan</t>
  </si>
  <si>
    <t>Kode Rekening</t>
  </si>
  <si>
    <t>Urusan/Bidang Urusan Pemerintahan Daerah dan Program/Kegiatan/ Sub Kegiatan</t>
  </si>
  <si>
    <r>
      <rPr>
        <b/>
        <sz val="12"/>
        <rFont val="Arial"/>
        <family val="2"/>
      </rPr>
      <t>Indikator Kinerja Program (</t>
    </r>
    <r>
      <rPr>
        <b/>
        <i/>
        <sz val="12"/>
        <rFont val="Arial"/>
        <family val="2"/>
      </rPr>
      <t>Outcome</t>
    </r>
    <r>
      <rPr>
        <b/>
        <sz val="12"/>
        <rFont val="Arial"/>
        <family val="2"/>
      </rPr>
      <t>)/Kegiatan (</t>
    </r>
    <r>
      <rPr>
        <b/>
        <i/>
        <sz val="12"/>
        <rFont val="Arial"/>
        <family val="2"/>
      </rPr>
      <t>Output</t>
    </r>
    <r>
      <rPr>
        <b/>
        <sz val="12"/>
        <rFont val="Arial"/>
        <family val="2"/>
      </rPr>
      <t>)/Sub Kegiatan (</t>
    </r>
    <r>
      <rPr>
        <b/>
        <i/>
        <sz val="12"/>
        <rFont val="Arial"/>
        <family val="2"/>
      </rPr>
      <t>Output</t>
    </r>
    <r>
      <rPr>
        <b/>
        <sz val="12"/>
        <rFont val="Arial"/>
        <family val="2"/>
      </rPr>
      <t>)</t>
    </r>
  </si>
  <si>
    <t>Satuan Indikator Kinerja</t>
  </si>
  <si>
    <t>Target RENSTRA pada Tahun 2029 (Akhir Periode RENSTRA)</t>
  </si>
  <si>
    <t>Realisasi Capaian Kinerja RENSTRA s.d. RENJA  Tahun Lalu (n-2) 
Tahun 2025</t>
  </si>
  <si>
    <t>Target Kinerja dan Anggaran RENJA Tahun Berjalan (n-1) yang Dievaluasi 
Tahun 2026</t>
  </si>
  <si>
    <t xml:space="preserve">Realisasi Kinerja pada Triwulan </t>
  </si>
  <si>
    <t>Realisasi Capaian Kinerja dan Anggaran RENJA yang Dievaluasi Tahun 2026</t>
  </si>
  <si>
    <t>Tingkat Capaian Kinerja dan Realisasi Anggaran RENJA Tahun 2026
(%)</t>
  </si>
  <si>
    <t>Realisasi Kinerja dan Anggaran RENSTRA s.d. Tahun 2026</t>
  </si>
  <si>
    <t>Tingkat Capaian Kinerja dan Realisasi Anggaran RENSTRA s.d. Tahun 2026</t>
  </si>
  <si>
    <t>Unit Kerja Penanggung Jawab</t>
  </si>
  <si>
    <t>I</t>
  </si>
  <si>
    <t>II</t>
  </si>
  <si>
    <t>III</t>
  </si>
  <si>
    <t>IV</t>
  </si>
  <si>
    <t>K</t>
  </si>
  <si>
    <t>Rp</t>
  </si>
  <si>
    <t>11 = 7+8+9+10</t>
  </si>
  <si>
    <t>12 = 11/6 x100%</t>
  </si>
  <si>
    <t>13 = 5+11</t>
  </si>
  <si>
    <t>14 = 13/4 x100%</t>
  </si>
  <si>
    <t>Urusan  Penunjang</t>
  </si>
  <si>
    <t>03</t>
  </si>
  <si>
    <t xml:space="preserve">Bidang Kepegawaian </t>
  </si>
  <si>
    <t>01</t>
  </si>
  <si>
    <t>PROGRAM PENUNJANG URUSAN PEMERINTAHAN DAERAH KABUPATEN/KOTA</t>
  </si>
  <si>
    <t>Indeks Kematangan Organisasi (Indeks)</t>
  </si>
  <si>
    <t xml:space="preserve">POIN </t>
  </si>
  <si>
    <t>2.01</t>
  </si>
  <si>
    <t>Kegiatan Perencanaan, Penganggaran, dan Evaluasi Kinerja Perangkat Daerah</t>
  </si>
  <si>
    <t>Terpenuhinya informasi perencanaan sebagai bahan dan acuan pelaksanaan kegiatan Perangkat Daerah</t>
  </si>
  <si>
    <t>persen</t>
  </si>
  <si>
    <t>Sub Kegiatan Penyusunan  Dokumen  Perencanaan  Perangkat Daerah</t>
  </si>
  <si>
    <t xml:space="preserve">Jumlah Dokumen Perencanaan Perangkat Daerah </t>
  </si>
  <si>
    <t>dokumen</t>
  </si>
  <si>
    <t>Sekretariat</t>
  </si>
  <si>
    <t>Sub Kegiatan Koordinasi dan Penyusunan Dokumen RKA-SKPD</t>
  </si>
  <si>
    <t xml:space="preserve">Jumlah Dokumen RKA-SKPD dan Laporan Hasil Koordinasi Penyusunan Dokumen RKA-SKPD </t>
  </si>
  <si>
    <t>Sub Kegiatan Koordinasi dan Penyusunan Dokumen Perubahan RKA-SKPD</t>
  </si>
  <si>
    <t>Jumlah Dokumen Perubahan RKA-SKPD dan Laporan Hasil Koordinasi Penyusunan Dokumen Perubahan RKA-SKPD</t>
  </si>
  <si>
    <t>Sub Kegiatan Koordinasi dan Penyusunan DPA-SKPD</t>
  </si>
  <si>
    <t xml:space="preserve">Jumlah Dokumen DPA-SKPD dan Laporan Hasil Koordinasi Penyusunan Dokumen DPA-SKPD </t>
  </si>
  <si>
    <t>05</t>
  </si>
  <si>
    <t>Sub Kegiatan Koordinasi   dan   Penyusunan   Perubahan DPA- SKPD</t>
  </si>
  <si>
    <t>Jumlah Dokumen Perubahan DPA-SKPD dan Laporan Hasil Koordinasi Penyusunan Dokumen Perubahan DPA SKPD</t>
  </si>
  <si>
    <t>06</t>
  </si>
  <si>
    <t>Sub Kegiatan Koordinasi  dan  Penyusunan  Laporan  Capaian Kinerja dan Ikhtisar Realisasi Kinerja SKPD</t>
  </si>
  <si>
    <t>Jumlah Laporan Capaian Kinerja dan Ikhtisar Realisasi Kinerja SKPD dan Laporan Hasil Koordinasi Penyusunan Laporan Capaian Kinerja
dan Ikhtisar Realisasi Kinerja SKPD</t>
  </si>
  <si>
    <t>Laporan</t>
  </si>
  <si>
    <t>Sub Kegiatan Evaluasi Kinerja Perangkat Daerah</t>
  </si>
  <si>
    <t xml:space="preserve">Jumlah Laporan Evaluasi Kinerja Perangkat Daerah </t>
  </si>
  <si>
    <t>2.02</t>
  </si>
  <si>
    <t>Kegiatan Administrasi Keuangan Perangkat Daerah</t>
  </si>
  <si>
    <t>Terpenuhinya informasi administasi keuangan sebagai bahan audit keuangan Perangkat Daerah</t>
  </si>
  <si>
    <t>Sub Kegiatan Penyediaan Gaji dan Tunjangan ASN</t>
  </si>
  <si>
    <t xml:space="preserve">Jumlah Orang yang Menerima Gaji dan Tunjangan ASN </t>
  </si>
  <si>
    <t>orang</t>
  </si>
  <si>
    <t>Sub Kegiatan Koordinasi  dan  Penyusunan  Laporan  Keuangan Akhir Tahun SKPD</t>
  </si>
  <si>
    <t>Jumlah Laporan Keuangan Akhir Tahun SKPD dan Laporan Hasil Koordinasi Penyusunan Laporan Keuangan Akhir Tahun SKPD</t>
  </si>
  <si>
    <t>2.03</t>
  </si>
  <si>
    <t>Kegiatan Administrasi Barang Milik Daerah pada Perangkat Daerah</t>
  </si>
  <si>
    <t>Terpenuhinya administrasi barang milik daerah pada Perangkat Daerah</t>
  </si>
  <si>
    <t>Sub Kegiatan Pengamanan Barang Milik Daerah SKPD</t>
  </si>
  <si>
    <t xml:space="preserve">Jumlah Dokumen Pengamanan Barang Milik Daerah SKPD </t>
  </si>
  <si>
    <t>2.05</t>
  </si>
  <si>
    <t>Kegiatan Administrasi Kepegawaian Perangkat Daerah</t>
  </si>
  <si>
    <t>Terwujudnya disiplin dan kapasitas aparatur Perangkat Daerah</t>
  </si>
  <si>
    <t>02</t>
  </si>
  <si>
    <t>Sub Kegiatan Pengadaan Pakaian Dinas Beserta   Atribut Kelengkapannya</t>
  </si>
  <si>
    <t>Jumlah Paket Pakaian Dinas
beserta Atribut
Kelengkapan</t>
  </si>
  <si>
    <t>paket</t>
  </si>
  <si>
    <t>Sub Kegiatan Sosialisasi Peraturan Perundang-Undangan</t>
  </si>
  <si>
    <t xml:space="preserve">Jumlah  Orang yang  Mengikuti Sosialisasi Peraturan Perundang
</t>
  </si>
  <si>
    <t>laporan</t>
  </si>
  <si>
    <t>2.06</t>
  </si>
  <si>
    <t>Kegiatan Administrasi Umum Perangkat Daerah</t>
  </si>
  <si>
    <t>Terpenuhinya sarana dan prasarana kantor Perangkat Daerah</t>
  </si>
  <si>
    <t>Sub Kegiatan Penyediaan Peralatan dan Perlengkapan Kantor</t>
  </si>
  <si>
    <t>Jumlah Paket Peralatan dan Perlengkapan Kantor yang disediakan</t>
  </si>
  <si>
    <t>Sub Kegiatan Penyediaan Bahan Logistik Kantor</t>
  </si>
  <si>
    <t>Jumlah Paket Bahan Logistik Kantor yang Disediakan</t>
  </si>
  <si>
    <t>Sub Kegiatan Penyediaan Barang Cetakan dan Penggandaan</t>
  </si>
  <si>
    <t>Jumlah Paket Barang Cetakan dan Penggandaan yang Disediakan</t>
  </si>
  <si>
    <t>Sub Kegiatan Penyediaan    Bahan    Bacaan    dan    Peraturan Perundang-undangan</t>
  </si>
  <si>
    <t>Jumlah Dokumen Bahan Bacaan dan Peraturan Perundang-Undangan yang Disediakan</t>
  </si>
  <si>
    <t>Sub Kegiatan Fasilitasi Kunjungan Tamu</t>
  </si>
  <si>
    <t>Jumlah Laporan Fasilitasi Kunjungan Tamu</t>
  </si>
  <si>
    <t>09</t>
  </si>
  <si>
    <t>Sub Kegiatan Penyelenggaraan Rapat Koordinasi dan Konsultasi
SKPD</t>
  </si>
  <si>
    <t>Jumlah Laporan Penyelenggaraan Rapat Koordinasi dan Konsultasi SKPD</t>
  </si>
  <si>
    <t>Sub Kegiatan Penatausahaan Arsip Dinamis pada SKPD</t>
  </si>
  <si>
    <t>Jumlah Dokumen Penatausahaan Arsip Dinamis pada SKPD</t>
  </si>
  <si>
    <t>2.07</t>
  </si>
  <si>
    <t>Kegiatan Pengadaan   Barang   Milik   Daerah   Penunjang Urusan Pemerintah Daerah</t>
  </si>
  <si>
    <t>Terpenuhinya pengadaan barang milik daerah penunjang Urusan Pemerintah Daerah</t>
  </si>
  <si>
    <t>Sub Kegiatan Pengadaan  Kendaraan  Perorangan  Dinas  atau Kendaraan Dinas Jabatan</t>
  </si>
  <si>
    <t xml:space="preserve">Jumlah Unit Kendaraan Perorangan Dinas atau Kendaraan Dinas Jabatan yang Disediakan </t>
  </si>
  <si>
    <t>unit</t>
  </si>
  <si>
    <t>Sub Kegiatan Pengadaan  Kendaraan  Dinas  Operasional  atau Lapangan</t>
  </si>
  <si>
    <t xml:space="preserve">Jumlah Unit Kendaraan Dinas Operasional atau Lapangan yang Disediakan </t>
  </si>
  <si>
    <t>Sub Kegiatan Pengadaan Mebel</t>
  </si>
  <si>
    <t>Jumlah Paket Mebel yang Disediakan</t>
  </si>
  <si>
    <t>jenis</t>
  </si>
  <si>
    <t>10</t>
  </si>
  <si>
    <t>Sub Kegiatan Pengadaan Sarana dan Prasarana Gedung Kantor atau Bangunan Lainnya</t>
  </si>
  <si>
    <t>Jumlah Unit Sarana dan Prasarana  Gedung Kantor atau Bangunan Lainnya yang Disediakan</t>
  </si>
  <si>
    <t>11</t>
  </si>
  <si>
    <t>Sub Kegiatan Pengadaan  Sarana  dan  Prasarana  Pendukung Gedung Kantor atau Bangunan Lainnya</t>
  </si>
  <si>
    <t>Jumlah Unit Sarana dan Prasarana Pendukung Gedung Kantor atau Bangunan Lainnya yang Disediakan</t>
  </si>
  <si>
    <t>2.08</t>
  </si>
  <si>
    <t>Kegiatan Penyediaan Jasa Penunjang Urusan Pemerintahan Daerah</t>
  </si>
  <si>
    <t>Terpenuhinya jasa penunjang Urusan Pemerintahan Daerah</t>
  </si>
  <si>
    <t>Sub Kegiatan Penyediaan Jasa Surat Menyurat</t>
  </si>
  <si>
    <t>Jumlah Laporan Penyediaan Jasa Surat menyurat</t>
  </si>
  <si>
    <t>Sub Kegiatan Penyediaan Jasa Komunikasi, Sumber Daya Air dan Listrik</t>
  </si>
  <si>
    <t>Jumlah Laporan Penyediaan JasaKomunikasi, Sumber Daya Air dan Listrik yang Disediakan Terpenuhinya  jasa</t>
  </si>
  <si>
    <t>Penyediaan Jasa Pelayanan Umum Kantor</t>
  </si>
  <si>
    <t>Jumlah Laporan jasa pelayanan umum  kantor yang disediakan</t>
  </si>
  <si>
    <t>2.09</t>
  </si>
  <si>
    <t>Kegiatan Pemeliharaan  Barang  Milik  Daerah  Penunjang Urusan Pemerintahan Daerah</t>
  </si>
  <si>
    <t>Terpenuhinya Pemeliharaan Barang Milik Daerah Penunjang Urusan Pemerintahan Daerah</t>
  </si>
  <si>
    <t>Sub Kegiatan Penyediaan Jasa Pemeliharaan, Biaya Pemeliharaan,   dan Pajak Kendaraan Perorangan Dinas atau Kendaraan Dinas Jabatan</t>
  </si>
  <si>
    <t>Jumlah Kendaraan Perorangan Dinas atau Kendaraan Dinas Jabatan yang Dipelihara dan dibayarkan Pajaknya</t>
  </si>
  <si>
    <t>Sub Kegiatan Penyediaan Jasa Pemeliharaan, Biaya Pemeliharaan, Pajak dan Perizinan Kendaraan Dinas Operasional atau Lapangan</t>
  </si>
  <si>
    <t>Jumlah Kendaraan Dinas Operasional atau Lapangan yang Dipelihara dan dibayarkan Pajak dan Perizinannya</t>
  </si>
  <si>
    <t>Sub Kegiatan Pemeliharaan Mebel</t>
  </si>
  <si>
    <t>Mebeleur kantor yang dipelihara</t>
  </si>
  <si>
    <t>Sub Kegiatan Pemeliharaan Peralatan dan Mesin Lainnya</t>
  </si>
  <si>
    <t>Jumlah peralatan dan mesin lainnya yang dipelihata</t>
  </si>
  <si>
    <t>Sub Kegiatan Pemeliharaan/Rehabilitasi   Gedung   Kantor  dan Bangunan Lainnya</t>
  </si>
  <si>
    <t xml:space="preserve">Jumlah Gedung Kantor dan Bangunan Lainnya yang Dipelihara/Direhabilitasi </t>
  </si>
  <si>
    <t>Sub Kegiatan Pemeliharaan/Rehabilitasi Sarana dan Prasarana Gedung Kantor atau Bangunan Lainnya</t>
  </si>
  <si>
    <t>Jumlah Sarana dan Prasarana Gedung Kantor atau Bangunan Lainnya yang Dipelihara/Direhabilitasi</t>
  </si>
  <si>
    <t>URUSAN UNSUR PENUNJANG URUSAN PEMERINTAHAN</t>
  </si>
  <si>
    <t>KEPEGAWAIAN</t>
  </si>
  <si>
    <t>PROGRAM KEPEGAWAIAN DAERAH</t>
  </si>
  <si>
    <t xml:space="preserve">Persentase Perencanaan Kebutuhan yang sesuai dengan Formasi </t>
  </si>
  <si>
    <t>Persen</t>
  </si>
  <si>
    <t>Kegiatan Pengadaan, Pemberhentian dan Informasi Kepegawaian ASN</t>
  </si>
  <si>
    <t>Terpenuhinya informasi administrasi kepegawaian ASN kota Cirebon</t>
  </si>
  <si>
    <t>Sub Kegiatan Penyusunan Rencana Kebutuhan, Jenis dan Jumlah Jabatan untuk Pelaksanaan Pengadaan ASN</t>
  </si>
  <si>
    <t>Jumlah dokumen hasil Penyusunan Rencana Kebutuhan, Jenis dan Jumlah Jabatan untuk Pelaksanaan Pengadaan ASN</t>
  </si>
  <si>
    <t>Bidang Pengadaan, Pemberhentian, Mutasi dan Promosi</t>
  </si>
  <si>
    <t>Sub Kegiatan Koordinasi dan Fasilitasi Pengadaan PNS dan PPPK</t>
  </si>
  <si>
    <t>Jumlah  dokuman Kegiatan Koordinasi dan Fasilitasi Pengadaan PNS dan PPPK</t>
  </si>
  <si>
    <t>Sub Kegiatan Koordinasi Pelaksanaan Administrasi Pemberhentian</t>
  </si>
  <si>
    <t>Jumlah dokumen hasil kegiatan  Koordinasi Pelaksanaan Administrasi Pemberhentian</t>
  </si>
  <si>
    <t>07</t>
  </si>
  <si>
    <t>Sub kegiatan Fasllitasi Lembaga Profesi ASN</t>
  </si>
  <si>
    <t xml:space="preserve">Jumlah lembaga Profesi ASN yang difasilitasi </t>
  </si>
  <si>
    <t>lembaga</t>
  </si>
  <si>
    <t>Sub Kegiatan Pengelolaan Sistem Informasi Kepegawaian</t>
  </si>
  <si>
    <t xml:space="preserve">Jumlah dokumen hasil pengelolaan Sistem Informasi Kepegawaian </t>
  </si>
  <si>
    <t>Sub Pengelolaan Data pegawai</t>
  </si>
  <si>
    <t xml:space="preserve">Jumlah Dokuman hasil  Pengelolaan data kepegawaian </t>
  </si>
  <si>
    <t>Persentase Pengembangan Karir ASN sesuai dengan Kompetensinya</t>
  </si>
  <si>
    <t>Kegiatan Mutasi dan Promosi ASN</t>
  </si>
  <si>
    <t>Terpenuhinya pengelolaan administrasi kepegawaian ASN kota Cirebon</t>
  </si>
  <si>
    <t>Sub Kegiatan Pengelolaan Mutasi ASN</t>
  </si>
  <si>
    <t>Jumlah dokumen hasil pengelolaan mutasi ASN antar daerah</t>
  </si>
  <si>
    <t>Sub Kegiatan Pengelolaan Kenaikan Pangkat ASN</t>
  </si>
  <si>
    <t>Jumlah Pengelolaan Kenaikan Pangkat ASN</t>
  </si>
  <si>
    <t>Sub Kegiatan Pengelolaan Promosi ASN</t>
  </si>
  <si>
    <t>Jumlah Dokumen Hasil Pengelolaan Promosi ASN</t>
  </si>
  <si>
    <t xml:space="preserve">Persentase ASN yang Ditingkatkan Kompetensinya </t>
  </si>
  <si>
    <t>Kegiatan Pengembangan Kompetensi ASN</t>
  </si>
  <si>
    <t>Terpenuhinya kapasitas sumber daya aparatur ASN kota Cirebon</t>
  </si>
  <si>
    <t>Sub Kegiatan Peningkatan Kapasitas Kinerja ASN</t>
  </si>
  <si>
    <t>Jumlah ASN yang meningkat kapasitasnya</t>
  </si>
  <si>
    <t>Bidang Pengembangan Komptensi</t>
  </si>
  <si>
    <t>Sub Kegiatan Pengelolaan Assesmen center</t>
  </si>
  <si>
    <t>Jumlah Dokumaen Pengelolaan Assesmen center</t>
  </si>
  <si>
    <t>04</t>
  </si>
  <si>
    <t>Sub Kegiatan Pengelolaan Pendidikan Lanjutan ASN</t>
  </si>
  <si>
    <t xml:space="preserve">Jumlah ASN yang mendapatkan pendidikan lanjutan </t>
  </si>
  <si>
    <t>Sub Kegiatan Fasilitasi Pengembangan Karir dalam JabatanFungsional</t>
  </si>
  <si>
    <t>Jumlah ASN Jabatan Fungsional Yang Mendapatkan Layanan Pengembangan Karier</t>
  </si>
  <si>
    <t xml:space="preserve">Persentase Pegawai dengan SKP Bernilai Baik </t>
  </si>
  <si>
    <t>2.04</t>
  </si>
  <si>
    <t>Kegiatan Penilaian dan Evaluasi Kinerja Aparatur</t>
  </si>
  <si>
    <t>(Jumlah ASN yang terkena kasus disiplin dibagi jumlah total ASN dikali 100 persen)</t>
  </si>
  <si>
    <t>Sub Kegiatan Penyusunan Kebijakan Penilaian dan Evaluasi Kinerja Aparatur</t>
  </si>
  <si>
    <t>Jumlah dokuman hasil penyusunan kebijakan penilaian dan evaluasi kinerja aparatur</t>
  </si>
  <si>
    <t>Sub kegiatan Evaluasi Hasil Penilaian Kinerja</t>
  </si>
  <si>
    <t>Jumlah dokumen hasil evaluasi hasil penilaian dan evaluasi kinerja aparatur</t>
  </si>
  <si>
    <t>Sub Kegiatan Pengelolaan Pemberian Penghargaan Bagi Pegawai</t>
  </si>
  <si>
    <t>Jumlah ASN yang diberikan Penghargaan</t>
  </si>
  <si>
    <t>Sub Kegiatan Pengelolaan Tanda Jasa  Bagi Pegawai</t>
  </si>
  <si>
    <t>Jumlah ASN yang diberikan tanda jasa</t>
  </si>
  <si>
    <t>Sub Kegiatan Pembinaan Disiplin ASN</t>
  </si>
  <si>
    <t>Jumlah ASN yang mendapatkan pembinaan kedisiplinan</t>
  </si>
  <si>
    <t>kasus</t>
  </si>
  <si>
    <t>PENDIDIKAN DAN PELATIHAN</t>
  </si>
  <si>
    <t>PROGRAM PENGEMBANGAN SUMBER DAYA MANUSIA</t>
  </si>
  <si>
    <t xml:space="preserve">Persentase ASN yang Mendapatkan Pengembangan Kompetensi Teknis </t>
  </si>
  <si>
    <t>Kegiatan Pengembangan Kompetensi Teknis</t>
  </si>
  <si>
    <t>Terpenuhinya kebutuhan pengembangan kompetensi teknis ASN kota Cirebon</t>
  </si>
  <si>
    <t>Sub Kegiatan Penyelenggaraan Pengembangan Kompetensi Teknis Umum, Inti, dan Pilihan bagi Jabatan Administrasi Penyelenggara Urusan Pemerintahan Konkuren, Perangkat Daerah Penunjang, dan Urusan Pemerintahan Umum</t>
  </si>
  <si>
    <t xml:space="preserve">Jumlah ASN yang Mengikuti Pengembangan Kompetensi </t>
  </si>
  <si>
    <t>Persentase Realisasi Pendidikan dan Pelatihan yang Dilaksanakan</t>
  </si>
  <si>
    <t>UPT</t>
  </si>
  <si>
    <t>Kegiatan Sertifikasi, Kelembagaan, Pengembangan Kompetensi Manajerial dan Fungsional</t>
  </si>
  <si>
    <t>Terpenuhinya kebutuhan pengembangan kompetensi manajerial dan fungsional ASN kota Cirebon</t>
  </si>
  <si>
    <t>Sub Kegiatan 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</si>
  <si>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</si>
  <si>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08</t>
  </si>
  <si>
    <t>Sub Kegiatan 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</si>
  <si>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Jumlah dokumen  hasilPembinaan,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</si>
  <si>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 xml:space="preserve">Predikat Kinerja </t>
  </si>
  <si>
    <t xml:space="preserve">Faktor pendorong keberhasilan kinerja : 1. Komitmen pimpinan dan kebijakan yang mendukung dalam penguatan manajemen ASN berbasis merit system;
                                                                   </t>
  </si>
  <si>
    <t xml:space="preserve">                       2. Ketersediaan regulasi dan pedoman teknis (terkait Kinerja, pengembangan kompetensi, dan perencanaan kebutuhan ASN);</t>
  </si>
  <si>
    <t xml:space="preserve">                       3. Pemanfaatan aplikasi digital kepegawaian (e-Kinerja, SIASN, dll) yang membantu monitoring dan evaluasi kinerja secara real time;</t>
  </si>
  <si>
    <t xml:space="preserve">                       4. Sinergi antar perangkat daerah dalam penyusunan kebutuhan pegawai dan pelaksanaan pengembangan kompetensi;</t>
  </si>
  <si>
    <t xml:space="preserve">                       5. Meningkatnya kesadaran ASN terhadap pentingnya kinerja, kompetensi, dan pengembangan karir;</t>
  </si>
  <si>
    <t xml:space="preserve">                       6. Adanya program diklat dan pelatihan yang terencana sesuai kebutuhan organisasi;</t>
  </si>
  <si>
    <t xml:space="preserve">                       7. Dukungan anggaran, meskipun terbatas, namun masih mampu mengakomodasi program prioritas.</t>
  </si>
  <si>
    <t>Faktor penghambat pencapaian kinerja : 1. Keterbatasan anggaran untuk pengembangan kompetensi ASN secara menyeluruh;</t>
  </si>
  <si>
    <t xml:space="preserve">                       2. Belum optimalnya pemetaan kompetensi ASN, sehingga pengembangan karir belum sepenuhnya berbasis kompetensi;</t>
  </si>
  <si>
    <t xml:space="preserve">                                                                 3. Kualitas dan konsistensi pengisian data kinerja (SKP) yang masih bervariasi antar perangkat daerah;</t>
  </si>
  <si>
    <t xml:space="preserve">                       4. Ketidaksesuaian antara kebutuhan riil dan formasi ASN akibat dinamika kebijakan dan keterbatasan rekrutmen; </t>
  </si>
  <si>
    <t xml:space="preserve">                                                                 5. Belum meratanya akses pelatihan teknis bagi seluruh ASN;</t>
  </si>
  <si>
    <t xml:space="preserve">                                       </t>
  </si>
  <si>
    <t xml:space="preserve">                                                         6. Disiplin dan motivasi sebagian ASN yang masih fluktuatif, berdampak pada capaian kinerja individu;</t>
  </si>
  <si>
    <t xml:space="preserve">                                                         7. Perubahan regulasi yang cepat, sehingga membutuhkan penyesuaian berkelanjutan dalam implementasi kebijakan;</t>
  </si>
  <si>
    <t>Tindak lanjut yang diperlukan dalam triwulan berikutnya :1. Melakukan monitoring dan evaluasi berkala terhadap capaian indikator kinerja;</t>
  </si>
  <si>
    <t>2. Optimalisasi pemutakhiran data ASN pada sistem kepegawaian untuk meningkatkan akurasi perencanaan;</t>
  </si>
  <si>
    <t>3. Meningkatkan pendampingan penyusunan SKP agar kualitas penilaian kinerja lebih objektif dan terstandar;</t>
  </si>
  <si>
    <t>4. Melaksanakan pelatihan prioritas berbasis kebutuhan kompetensi (training need analysis);</t>
  </si>
  <si>
    <t>5. Memperkuat koordinasi lintas perangkat daerah dalam perencanaan kebutuhan ASN;</t>
  </si>
  <si>
    <t>6. Mendorong pemanfaatan metode pembelajaran digital (e-learning) untuk efisiensi pengembangan kompetensi;</t>
  </si>
  <si>
    <t>7. Melakukan evaluasi pelaksanaan diklat agar lebih tepat sasaran dan berdampak pada kinerja.</t>
  </si>
  <si>
    <t>Tindak lanjut yang diperlukan dalam Renja PD berikutnya : 1. PMenyusun perencanaan kebutuhan ASN berbasis data dan analisis jabatan/beban kerja yang lebih akurat;</t>
  </si>
  <si>
    <t xml:space="preserve">    2. Mengembangkan sistem manajemen talenta (talent management) untuk mendukung pengembangan karir berbasis kompetensi;</t>
  </si>
  <si>
    <t xml:space="preserve">    3. Meningkatkan alokasi dan efisiensi anggaran pengembangan kompetensi ASN;</t>
  </si>
  <si>
    <t xml:space="preserve">    4. Mengintegrasikan sistem informasi kepegawaian untuk mendukung pengambilan keputusan berbasis data;</t>
  </si>
  <si>
    <t xml:space="preserve">    5. Menyusun roadmap pengembangan kompetensi ASN jangka menengah;</t>
  </si>
  <si>
    <t xml:space="preserve">    6. Mendorong peningkatan kualitas penilaian kinerja (SKP) berbasis output dan outcome;</t>
  </si>
  <si>
    <t xml:space="preserve">    7. Memperluas kerja sama dengan lembaga diklat/instansi lain untuk peningkatan kapasitas ASN;</t>
  </si>
  <si>
    <t xml:space="preserve">    8. Menetapkan indikator kinerja yang lebih outcome-oriented, tidak hanya berbasis output kegiatan;</t>
  </si>
  <si>
    <t>Disusun,</t>
  </si>
  <si>
    <t>Cirebon,   7 Juli 2026</t>
  </si>
  <si>
    <t>KEPALA BADAN KEPEGAWAIAN DAN</t>
  </si>
  <si>
    <t>PENGEMBANGAN SUMBER DAYA MANUSIA</t>
  </si>
  <si>
    <t>KOTA CIREBON,</t>
  </si>
  <si>
    <t xml:space="preserve">           ${ttd_pengirim}</t>
  </si>
  <si>
    <t>${nama_pengirim}</t>
  </si>
  <si>
    <t>Pembina Utama Muda</t>
  </si>
  <si>
    <t>NIP. 19750101 199503 1 001</t>
  </si>
  <si>
    <t xml:space="preserve">TABEL 2.2 </t>
  </si>
  <si>
    <t>Evaluasi Terhadap Hasil RKPD Kota Cirebon</t>
  </si>
  <si>
    <t>Tahun 2026</t>
  </si>
  <si>
    <t>No</t>
  </si>
  <si>
    <t xml:space="preserve"> Program/Kegiatan</t>
  </si>
  <si>
    <t>Indikator Kinerja Program (outcome)/Kegiatan (output)</t>
  </si>
  <si>
    <r>
      <t>Target Renstra SKPD pada tahun 2029</t>
    </r>
    <r>
      <rPr>
        <sz val="11"/>
        <color theme="1"/>
        <rFont val="Arial Narrow"/>
        <family val="2"/>
      </rPr>
      <t xml:space="preserve"> </t>
    </r>
    <r>
      <rPr>
        <b/>
        <sz val="11"/>
        <color theme="1"/>
        <rFont val="Arial Narrow"/>
        <family val="2"/>
      </rPr>
      <t>(akhir periode Renstra PD)</t>
    </r>
  </si>
  <si>
    <t>Realisasi Capaian Kinerja Renstra PD sampai dengan Renja PD Tahun lalu (n-2) (tahun 2025</t>
  </si>
  <si>
    <t>Target Kinerja dan Anggaran Renja SKPD Tahun Berjalan (n-1) yang Dievaluasi (Tahun 2026)</t>
  </si>
  <si>
    <t>Realisasi Kinerja pada Triwulan</t>
  </si>
  <si>
    <t>Realisasi capaian Kinerja dan Anggaran Renja PD yang Dievaluasi (Tahun 2026)</t>
  </si>
  <si>
    <t>Tingkat Capaian Kinerja dan Realisasi Anggaran Renja PD Tahun 2026(%)</t>
  </si>
  <si>
    <t>Realisasi Kinerja dan Anggaran Renstra PD s.d Tahun 2026(Akhir Tahun Pelaksanaan Renja PD)</t>
  </si>
  <si>
    <t>Tingkat Capaian Kinerja dan Realisasi Anggaran Renstra PD s.d Tahun 2029</t>
  </si>
  <si>
    <t>Unit SKPD Penanggung jawab</t>
  </si>
  <si>
    <t>11=7+8+9+10</t>
  </si>
  <si>
    <t>12=11/6x100</t>
  </si>
  <si>
    <t>13= 6 + 11</t>
  </si>
  <si>
    <t>14 = 13/4 x 100%</t>
  </si>
  <si>
    <t>Kepegawaian</t>
  </si>
  <si>
    <t>5.03.02</t>
  </si>
  <si>
    <t>BKPSDM</t>
  </si>
  <si>
    <t>4.06.15</t>
  </si>
  <si>
    <t>13.90</t>
  </si>
  <si>
    <t>5.03.01</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</si>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</sst>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quot;Rp&quot;* #,##0_-;\-&quot;Rp&quot;* #,##0_-;_-&quot;Rp&quot;* &quot;-&quot;_-;_-@_-"/>
    <numFmt numFmtId="41" formatCode="_-* #,##0_-;\-* #,##0_-;_-* &quot;-&quot;_-;_-@_-"/>
    <numFmt numFmtId="43" formatCode="_-* #,##0.00_-;\-* #,##0.00_-;_-* &quot;-&quot;??_-;_-@_-"/>
    <numFmt numFmtId="164" formatCode="_(* #,##0_);_(* \(#,##0\);_(* &quot;-&quot;_);_(@_)"/>
    <numFmt numFmtId="165" formatCode="#,##0.."/>
    <numFmt numFmtId="166" formatCode="_(* #,##0.00_);_(* \(#,##0.00\);_(* &quot;-&quot;??_);_(@_)"/>
    <numFmt numFmtId="167" formatCode="###00;###00"/>
    <numFmt numFmtId="168" formatCode="_(* #,##0_);_(* \(#,##0\);_(* &quot;-&quot;??_);_(@_)"/>
    <numFmt numFmtId="169" formatCode="_-* #,##0_-;\-* #,##0_-;_-* &quot;-&quot;??_-;_-@_-"/>
    <numFmt numFmtId="170" formatCode="_-* #,##0.00_-;\-* #,##0.00_-;_-* &quot;-&quot;_-;_-@_-"/>
    <numFmt numFmtId="171" formatCode="0.0%"/>
    <numFmt numFmtId="172" formatCode="0.000%"/>
    <numFmt numFmtId="174" formatCode="0.0"/>
    <numFmt numFmtId="175" formatCode="0.000"/>
    <numFmt numFmtId="176" formatCode="_(* #,##0.00_);_(* \(#,##0.00\);_(* &quot;-&quot;_);_(@_)"/>
  </numFmts>
  <fonts count="26" x14ac:knownFonts="1">
    <font>
      <sz val="11"/>
      <color theme="1"/>
      <name val="Calibri"/>
      <family val="2"/>
      <charset val="1"/>
      <scheme val="minor"/>
    </font>
    <font>
      <sz val="11"/>
      <color theme="1"/>
      <name val="Calibri"/>
      <family val="2"/>
      <charset val="1"/>
      <scheme val="minor"/>
    </font>
    <font>
      <sz val="12"/>
      <color theme="1"/>
      <name val="Calibri"/>
      <family val="2"/>
      <scheme val="minor"/>
    </font>
    <font>
      <b/>
      <sz val="12"/>
      <color theme="1"/>
      <name val="Arial"/>
      <family val="2"/>
    </font>
    <font>
      <sz val="12"/>
      <color theme="1"/>
      <name val="Arial"/>
      <family val="2"/>
    </font>
    <font>
      <sz val="11"/>
      <color theme="1"/>
      <name val="Calibri"/>
      <family val="2"/>
      <scheme val="minor"/>
    </font>
    <font>
      <b/>
      <sz val="12"/>
      <name val="Arial"/>
      <family val="2"/>
    </font>
    <font>
      <b/>
      <i/>
      <sz val="12"/>
      <name val="Arial"/>
      <family val="2"/>
    </font>
    <font>
      <b/>
      <sz val="12"/>
      <color rgb="FF000000"/>
      <name val="Arial"/>
      <family val="2"/>
    </font>
    <font>
      <b/>
      <sz val="12"/>
      <name val="Arial Narrow"/>
      <family val="2"/>
    </font>
    <font>
      <b/>
      <sz val="12"/>
      <color rgb="FF000000"/>
      <name val="Arial Narrow"/>
      <family val="2"/>
    </font>
    <font>
      <b/>
      <sz val="12"/>
      <color theme="1"/>
      <name val="Arial Narrow"/>
      <family val="2"/>
    </font>
    <font>
      <sz val="12"/>
      <name val="Arial Narrow"/>
      <family val="2"/>
    </font>
    <font>
      <sz val="12"/>
      <color theme="1"/>
      <name val="Arial Narrow"/>
      <family val="2"/>
    </font>
    <font>
      <sz val="12"/>
      <color rgb="FF000000"/>
      <name val="Arial Narrow"/>
      <family val="2"/>
    </font>
    <font>
      <sz val="10"/>
      <name val="Arial"/>
      <family val="2"/>
    </font>
    <font>
      <sz val="12"/>
      <color theme="0"/>
      <name val="Arial Narrow"/>
      <family val="2"/>
    </font>
    <font>
      <sz val="14"/>
      <color theme="1"/>
      <name val="Arial"/>
      <family val="2"/>
    </font>
    <font>
      <sz val="10"/>
      <color theme="1"/>
      <name val="Arial"/>
      <family val="2"/>
    </font>
    <font>
      <b/>
      <sz val="9"/>
      <color indexed="81"/>
      <name val="Tahoma"/>
      <family val="2"/>
    </font>
    <font>
      <sz val="9"/>
      <color indexed="81"/>
      <name val="Tahoma"/>
      <family val="2"/>
    </font>
    <font>
      <sz val="11"/>
      <color theme="1"/>
      <name val="Arial Narrow"/>
      <family val="2"/>
    </font>
    <font>
      <b/>
      <sz val="11"/>
      <color theme="1"/>
      <name val="Arial Narrow"/>
      <family val="2"/>
    </font>
    <font>
      <b/>
      <sz val="11"/>
      <name val="Arial Narrow"/>
      <family val="2"/>
    </font>
    <font>
      <sz val="11"/>
      <name val="Arial Narrow"/>
      <family val="2"/>
    </font>
    <font>
      <b/>
      <u/>
      <sz val="12"/>
      <color theme="1"/>
      <name val="Arial"/>
      <family val="2"/>
    </font>
  </fonts>
  <fills count="12">
    <fill>
      <patternFill patternType="none"/>
    </fill>
    <fill>
      <patternFill patternType="gray125"/>
    </fill>
    <fill>
      <patternFill patternType="solid">
        <fgColor rgb="FFFFFF00"/>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59999389629810485"/>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hair">
        <color auto="1"/>
      </top>
      <bottom style="thin">
        <color auto="1"/>
      </bottom>
      <diagonal/>
    </border>
  </borders>
  <cellStyleXfs count="9">
    <xf numFmtId="0" fontId="0" fillId="0" borderId="0"/>
    <xf numFmtId="43"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xf numFmtId="0" fontId="15" fillId="0" borderId="0"/>
    <xf numFmtId="9" fontId="15" fillId="0" borderId="0" applyFont="0" applyFill="0" applyBorder="0" applyAlignment="0" applyProtection="0"/>
  </cellStyleXfs>
  <cellXfs count="426">
    <xf numFmtId="0" fontId="0" fillId="0" borderId="0" xfId="0"/>
    <xf numFmtId="0" fontId="2" fillId="2" borderId="0" xfId="0" applyFont="1" applyFill="1"/>
    <xf numFmtId="0" fontId="3" fillId="2" borderId="0" xfId="0" applyFont="1" applyFill="1" applyAlignment="1">
      <alignment horizontal="center"/>
    </xf>
    <xf numFmtId="0" fontId="2" fillId="2" borderId="0" xfId="0" applyFont="1" applyFill="1" applyAlignment="1">
      <alignment wrapText="1"/>
    </xf>
    <xf numFmtId="0" fontId="3" fillId="2" borderId="0" xfId="0" applyFont="1" applyFill="1" applyAlignment="1">
      <alignment horizontal="center" vertical="top" wrapText="1"/>
    </xf>
    <xf numFmtId="0" fontId="2" fillId="2" borderId="0" xfId="0" applyFont="1" applyFill="1" applyAlignment="1">
      <alignment horizontal="center"/>
    </xf>
    <xf numFmtId="0" fontId="3" fillId="2" borderId="0" xfId="0" applyFont="1" applyFill="1" applyAlignment="1">
      <alignment vertical="center"/>
    </xf>
    <xf numFmtId="0" fontId="4" fillId="2" borderId="0" xfId="0" applyFont="1" applyFill="1" applyAlignment="1">
      <alignment vertical="center"/>
    </xf>
    <xf numFmtId="0" fontId="4" fillId="2" borderId="0" xfId="0" applyFont="1" applyFill="1"/>
    <xf numFmtId="0" fontId="4" fillId="2" borderId="0" xfId="0" applyFont="1" applyFill="1" applyAlignment="1">
      <alignment horizontal="center"/>
    </xf>
    <xf numFmtId="41" fontId="2" fillId="2" borderId="0" xfId="0" applyNumberFormat="1" applyFont="1" applyFill="1"/>
    <xf numFmtId="0" fontId="2" fillId="0" borderId="0" xfId="0" applyFont="1"/>
    <xf numFmtId="0" fontId="4" fillId="0" borderId="0" xfId="0" applyFont="1" applyAlignment="1">
      <alignment vertical="center"/>
    </xf>
    <xf numFmtId="0" fontId="4" fillId="0" borderId="0" xfId="0" applyFont="1"/>
    <xf numFmtId="0" fontId="4" fillId="0" borderId="0" xfId="0" applyFont="1" applyAlignment="1">
      <alignment horizontal="center"/>
    </xf>
    <xf numFmtId="0" fontId="2" fillId="0" borderId="0" xfId="0" applyFont="1" applyAlignment="1">
      <alignment horizont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6" fillId="3" borderId="4" xfId="5" applyFont="1" applyFill="1" applyBorder="1" applyAlignment="1" applyProtection="1">
      <alignment horizontal="center" vertical="center" wrapText="1"/>
      <protection locked="0"/>
    </xf>
    <xf numFmtId="0" fontId="6" fillId="3" borderId="5" xfId="5"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wrapText="1"/>
      <protection locked="0"/>
    </xf>
    <xf numFmtId="9" fontId="3" fillId="3" borderId="4" xfId="0" applyNumberFormat="1" applyFont="1" applyFill="1" applyBorder="1" applyAlignment="1" applyProtection="1">
      <alignment horizontal="center" vertical="center" wrapText="1"/>
      <protection locked="0"/>
    </xf>
    <xf numFmtId="0" fontId="3" fillId="3" borderId="6"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7" xfId="0" applyFont="1" applyFill="1" applyBorder="1" applyAlignment="1">
      <alignment horizontal="center" vertical="center" wrapText="1"/>
    </xf>
    <xf numFmtId="0" fontId="6" fillId="3" borderId="8" xfId="5" applyFont="1" applyFill="1" applyBorder="1" applyAlignment="1" applyProtection="1">
      <alignment horizontal="center" vertical="center" wrapText="1"/>
      <protection locked="0"/>
    </xf>
    <xf numFmtId="3" fontId="3" fillId="3" borderId="4" xfId="0" applyNumberFormat="1" applyFont="1" applyFill="1" applyBorder="1" applyAlignment="1" applyProtection="1">
      <alignment horizontal="center" vertical="center" wrapText="1"/>
      <protection locked="0"/>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6" fillId="3" borderId="12" xfId="5" applyFont="1" applyFill="1" applyBorder="1" applyAlignment="1" applyProtection="1">
      <alignment horizontal="center" vertical="center" wrapText="1"/>
      <protection locked="0"/>
    </xf>
    <xf numFmtId="4" fontId="6" fillId="3" borderId="4" xfId="5" applyNumberFormat="1" applyFont="1" applyFill="1" applyBorder="1" applyAlignment="1" applyProtection="1">
      <alignment horizontal="center" vertical="center" wrapText="1"/>
      <protection locked="0"/>
    </xf>
    <xf numFmtId="165" fontId="8" fillId="3" borderId="4" xfId="2" applyNumberFormat="1" applyFont="1" applyFill="1" applyBorder="1" applyAlignment="1" applyProtection="1">
      <alignment horizontal="center" vertical="center" wrapText="1"/>
      <protection locked="0"/>
    </xf>
    <xf numFmtId="4" fontId="8" fillId="3" borderId="4" xfId="0" applyNumberFormat="1" applyFont="1" applyFill="1" applyBorder="1" applyAlignment="1" applyProtection="1">
      <alignment horizontal="center" vertical="center" wrapText="1"/>
      <protection locked="0"/>
    </xf>
    <xf numFmtId="41" fontId="8" fillId="3" borderId="4" xfId="2" applyFont="1" applyFill="1" applyBorder="1" applyAlignment="1" applyProtection="1">
      <alignment horizontal="center" vertical="center" wrapText="1"/>
      <protection locked="0"/>
    </xf>
    <xf numFmtId="10" fontId="8" fillId="3" borderId="4" xfId="0" applyNumberFormat="1"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wrapText="1"/>
      <protection locked="0"/>
    </xf>
    <xf numFmtId="3" fontId="8" fillId="3" borderId="4" xfId="2" applyNumberFormat="1" applyFont="1" applyFill="1" applyBorder="1" applyAlignment="1" applyProtection="1">
      <alignment horizontal="center" vertical="center" wrapText="1"/>
      <protection locked="0"/>
    </xf>
    <xf numFmtId="9" fontId="3" fillId="3" borderId="4" xfId="0" applyNumberFormat="1" applyFont="1" applyFill="1" applyBorder="1" applyAlignment="1" applyProtection="1">
      <alignment horizontal="center" vertical="center" wrapText="1"/>
      <protection locked="0"/>
    </xf>
    <xf numFmtId="9" fontId="8" fillId="3" borderId="4" xfId="2" applyNumberFormat="1" applyFont="1" applyFill="1" applyBorder="1" applyAlignment="1" applyProtection="1">
      <alignment horizontal="center" vertical="center" wrapText="1"/>
      <protection locked="0"/>
    </xf>
    <xf numFmtId="0" fontId="6" fillId="3" borderId="13" xfId="5" applyFont="1" applyFill="1" applyBorder="1" applyAlignment="1" applyProtection="1">
      <alignment horizontal="center" vertical="center" wrapText="1"/>
      <protection locked="0"/>
    </xf>
    <xf numFmtId="0" fontId="6" fillId="3" borderId="14" xfId="5" applyFont="1" applyFill="1" applyBorder="1" applyAlignment="1" applyProtection="1">
      <alignment horizontal="center" vertical="center" wrapText="1"/>
      <protection locked="0"/>
    </xf>
    <xf numFmtId="0" fontId="6" fillId="3" borderId="15" xfId="5" applyFont="1" applyFill="1" applyBorder="1" applyAlignment="1" applyProtection="1">
      <alignment horizontal="center" vertical="center" wrapText="1"/>
      <protection locked="0"/>
    </xf>
    <xf numFmtId="0" fontId="6" fillId="3" borderId="4" xfId="5" applyFont="1" applyFill="1" applyBorder="1" applyAlignment="1" applyProtection="1">
      <alignment horizontal="center" vertical="center" wrapText="1"/>
      <protection locked="0"/>
    </xf>
    <xf numFmtId="0" fontId="3" fillId="4" borderId="4" xfId="0" applyFont="1" applyFill="1" applyBorder="1" applyAlignment="1">
      <alignment horizontal="center"/>
    </xf>
    <xf numFmtId="0" fontId="3" fillId="4" borderId="4" xfId="0" applyFont="1" applyFill="1" applyBorder="1"/>
    <xf numFmtId="0" fontId="4" fillId="4" borderId="4" xfId="0" applyFont="1" applyFill="1" applyBorder="1"/>
    <xf numFmtId="0" fontId="6" fillId="4" borderId="4" xfId="5" applyFont="1" applyFill="1" applyBorder="1" applyAlignment="1" applyProtection="1">
      <alignment horizontal="center" vertical="center" wrapText="1"/>
      <protection locked="0"/>
    </xf>
    <xf numFmtId="0" fontId="6" fillId="4" borderId="13" xfId="5" applyFont="1" applyFill="1" applyBorder="1" applyAlignment="1" applyProtection="1">
      <alignment horizontal="left" vertical="center" wrapText="1"/>
      <protection locked="0"/>
    </xf>
    <xf numFmtId="0" fontId="6" fillId="4" borderId="14" xfId="5" applyFont="1" applyFill="1" applyBorder="1" applyAlignment="1" applyProtection="1">
      <alignment horizontal="left" vertical="center" wrapText="1"/>
      <protection locked="0"/>
    </xf>
    <xf numFmtId="0" fontId="6" fillId="4" borderId="15" xfId="5" applyFont="1" applyFill="1" applyBorder="1" applyAlignment="1" applyProtection="1">
      <alignment horizontal="left" vertical="center" wrapText="1"/>
      <protection locked="0"/>
    </xf>
    <xf numFmtId="0" fontId="3" fillId="5" borderId="4" xfId="0" applyFont="1" applyFill="1" applyBorder="1" applyAlignment="1">
      <alignment horizontal="center"/>
    </xf>
    <xf numFmtId="0" fontId="3" fillId="5" borderId="4" xfId="0" quotePrefix="1" applyFont="1" applyFill="1" applyBorder="1" applyAlignment="1">
      <alignment horizontal="center"/>
    </xf>
    <xf numFmtId="0" fontId="4" fillId="5" borderId="4" xfId="0" applyFont="1" applyFill="1" applyBorder="1"/>
    <xf numFmtId="0" fontId="6" fillId="5" borderId="4" xfId="5" applyFont="1" applyFill="1" applyBorder="1" applyAlignment="1" applyProtection="1">
      <alignment horizontal="left" vertical="center" wrapText="1"/>
      <protection locked="0"/>
    </xf>
    <xf numFmtId="0" fontId="6" fillId="5" borderId="13" xfId="5" applyFont="1" applyFill="1" applyBorder="1" applyAlignment="1" applyProtection="1">
      <alignment vertical="center" wrapText="1"/>
      <protection locked="0"/>
    </xf>
    <xf numFmtId="0" fontId="6" fillId="5" borderId="14" xfId="5" applyFont="1" applyFill="1" applyBorder="1" applyAlignment="1" applyProtection="1">
      <alignment vertical="center" wrapText="1"/>
      <protection locked="0"/>
    </xf>
    <xf numFmtId="0" fontId="6" fillId="5" borderId="3" xfId="5" applyFont="1" applyFill="1" applyBorder="1" applyAlignment="1" applyProtection="1">
      <alignment vertical="center" wrapText="1"/>
      <protection locked="0"/>
    </xf>
    <xf numFmtId="0" fontId="9" fillId="6" borderId="4" xfId="0" applyFont="1" applyFill="1" applyBorder="1" applyAlignment="1">
      <alignment horizontal="center" vertical="top" wrapText="1"/>
    </xf>
    <xf numFmtId="0" fontId="9" fillId="6" borderId="4" xfId="0" quotePrefix="1" applyFont="1" applyFill="1" applyBorder="1" applyAlignment="1">
      <alignment horizontal="center" vertical="top" wrapText="1"/>
    </xf>
    <xf numFmtId="0" fontId="9" fillId="6" borderId="4" xfId="0" applyFont="1" applyFill="1" applyBorder="1"/>
    <xf numFmtId="0" fontId="9" fillId="6" borderId="5" xfId="0" applyFont="1" applyFill="1" applyBorder="1" applyAlignment="1">
      <alignment horizontal="left" vertical="top" wrapText="1"/>
    </xf>
    <xf numFmtId="0" fontId="9" fillId="7" borderId="4" xfId="6" applyFont="1" applyFill="1" applyBorder="1" applyAlignment="1">
      <alignment horizontal="left" vertical="top" wrapText="1"/>
    </xf>
    <xf numFmtId="0" fontId="10" fillId="7" borderId="4" xfId="0" applyFont="1" applyFill="1" applyBorder="1" applyAlignment="1">
      <alignment horizontal="left" vertical="top"/>
    </xf>
    <xf numFmtId="166" fontId="9" fillId="7" borderId="4" xfId="0" applyNumberFormat="1" applyFont="1" applyFill="1" applyBorder="1" applyAlignment="1">
      <alignment vertical="top" wrapText="1"/>
    </xf>
    <xf numFmtId="41" fontId="9" fillId="6" borderId="4" xfId="0" applyNumberFormat="1" applyFont="1" applyFill="1" applyBorder="1" applyAlignment="1">
      <alignment vertical="top" wrapText="1"/>
    </xf>
    <xf numFmtId="2" fontId="10" fillId="6" borderId="4" xfId="0" applyNumberFormat="1" applyFont="1" applyFill="1" applyBorder="1" applyAlignment="1">
      <alignment horizontal="center" vertical="top"/>
    </xf>
    <xf numFmtId="2" fontId="11" fillId="7" borderId="4" xfId="0" applyNumberFormat="1" applyFont="1" applyFill="1" applyBorder="1" applyAlignment="1">
      <alignment horizontal="center" vertical="top"/>
    </xf>
    <xf numFmtId="9" fontId="9" fillId="6" borderId="4" xfId="4" applyFont="1" applyFill="1" applyBorder="1" applyAlignment="1">
      <alignment horizontal="center" vertical="top"/>
    </xf>
    <xf numFmtId="2" fontId="11" fillId="6" borderId="4" xfId="0" applyNumberFormat="1" applyFont="1" applyFill="1" applyBorder="1" applyAlignment="1">
      <alignment horizontal="center" vertical="top"/>
    </xf>
    <xf numFmtId="41" fontId="10" fillId="6" borderId="4" xfId="0" applyNumberFormat="1" applyFont="1" applyFill="1" applyBorder="1" applyAlignment="1">
      <alignment vertical="top"/>
    </xf>
    <xf numFmtId="0" fontId="9" fillId="6" borderId="4" xfId="5" applyFont="1" applyFill="1" applyBorder="1" applyAlignment="1" applyProtection="1">
      <alignment horizontal="center" vertical="top" wrapText="1"/>
      <protection locked="0"/>
    </xf>
    <xf numFmtId="0" fontId="9" fillId="8" borderId="4" xfId="0" applyFont="1" applyFill="1" applyBorder="1" applyAlignment="1">
      <alignment horizontal="center" vertical="top" wrapText="1"/>
    </xf>
    <xf numFmtId="0" fontId="9" fillId="8" borderId="4" xfId="0" quotePrefix="1" applyFont="1" applyFill="1" applyBorder="1" applyAlignment="1">
      <alignment horizontal="center" vertical="top" wrapText="1"/>
    </xf>
    <xf numFmtId="0" fontId="9" fillId="8" borderId="4" xfId="0" applyFont="1" applyFill="1" applyBorder="1" applyAlignment="1">
      <alignment vertical="top" wrapText="1"/>
    </xf>
    <xf numFmtId="0" fontId="9" fillId="8" borderId="4" xfId="0" applyFont="1" applyFill="1" applyBorder="1" applyAlignment="1">
      <alignment horizontal="left" vertical="top"/>
    </xf>
    <xf numFmtId="166" fontId="9" fillId="8" borderId="4" xfId="0" applyNumberFormat="1" applyFont="1" applyFill="1" applyBorder="1" applyAlignment="1">
      <alignment vertical="top" wrapText="1"/>
    </xf>
    <xf numFmtId="41" fontId="9" fillId="8" borderId="4" xfId="0" applyNumberFormat="1" applyFont="1" applyFill="1" applyBorder="1" applyAlignment="1">
      <alignment vertical="top" wrapText="1"/>
    </xf>
    <xf numFmtId="41" fontId="10" fillId="8" borderId="4" xfId="0" applyNumberFormat="1" applyFont="1" applyFill="1" applyBorder="1" applyAlignment="1">
      <alignment vertical="top"/>
    </xf>
    <xf numFmtId="2" fontId="9" fillId="8" borderId="4" xfId="0" applyNumberFormat="1" applyFont="1" applyFill="1" applyBorder="1" applyAlignment="1">
      <alignment horizontal="center" vertical="top"/>
    </xf>
    <xf numFmtId="2" fontId="10" fillId="0" borderId="4" xfId="0" applyNumberFormat="1" applyFont="1" applyBorder="1" applyAlignment="1">
      <alignment horizontal="center" vertical="top"/>
    </xf>
    <xf numFmtId="9" fontId="9" fillId="8" borderId="4" xfId="4" applyFont="1" applyFill="1" applyBorder="1" applyAlignment="1">
      <alignment horizontal="center" vertical="top"/>
    </xf>
    <xf numFmtId="9" fontId="11" fillId="8" borderId="4" xfId="0" applyNumberFormat="1" applyFont="1" applyFill="1" applyBorder="1" applyAlignment="1">
      <alignment horizontal="center" vertical="top"/>
    </xf>
    <xf numFmtId="2" fontId="11" fillId="8" borderId="4" xfId="0" applyNumberFormat="1" applyFont="1" applyFill="1" applyBorder="1" applyAlignment="1">
      <alignment horizontal="center" vertical="top"/>
    </xf>
    <xf numFmtId="41" fontId="11" fillId="8" borderId="4" xfId="2" applyFont="1" applyFill="1" applyBorder="1" applyAlignment="1">
      <alignment horizontal="center" vertical="top"/>
    </xf>
    <xf numFmtId="10" fontId="11" fillId="8" borderId="4" xfId="0" applyNumberFormat="1" applyFont="1" applyFill="1" applyBorder="1" applyAlignment="1">
      <alignment horizontal="center" vertical="top"/>
    </xf>
    <xf numFmtId="0" fontId="12" fillId="8" borderId="4" xfId="0" applyFont="1" applyFill="1" applyBorder="1" applyAlignment="1">
      <alignment horizontal="center" vertical="top" wrapText="1"/>
    </xf>
    <xf numFmtId="0" fontId="12" fillId="8" borderId="4" xfId="0" quotePrefix="1" applyFont="1" applyFill="1" applyBorder="1" applyAlignment="1">
      <alignment horizontal="center" vertical="top" wrapText="1"/>
    </xf>
    <xf numFmtId="167" fontId="12" fillId="8" borderId="4" xfId="0" applyNumberFormat="1" applyFont="1" applyFill="1" applyBorder="1" applyAlignment="1">
      <alignment horizontal="center" vertical="top" wrapText="1"/>
    </xf>
    <xf numFmtId="0" fontId="12" fillId="8" borderId="4" xfId="0" applyFont="1" applyFill="1" applyBorder="1" applyAlignment="1">
      <alignment vertical="top" wrapText="1"/>
    </xf>
    <xf numFmtId="0" fontId="12" fillId="8" borderId="4" xfId="6" applyFont="1" applyFill="1" applyBorder="1" applyAlignment="1">
      <alignment vertical="top" wrapText="1"/>
    </xf>
    <xf numFmtId="0" fontId="12" fillId="8" borderId="4" xfId="0" applyFont="1" applyFill="1" applyBorder="1" applyAlignment="1">
      <alignment horizontal="left" vertical="top"/>
    </xf>
    <xf numFmtId="0" fontId="4" fillId="8" borderId="4" xfId="0" applyFont="1" applyFill="1" applyBorder="1" applyAlignment="1">
      <alignment horizontal="center" vertical="top"/>
    </xf>
    <xf numFmtId="41" fontId="13" fillId="8" borderId="4" xfId="2" applyFont="1" applyFill="1" applyBorder="1" applyAlignment="1">
      <alignment horizontal="center" vertical="top" wrapText="1"/>
    </xf>
    <xf numFmtId="3" fontId="14" fillId="8" borderId="4" xfId="0" applyNumberFormat="1" applyFont="1" applyFill="1" applyBorder="1" applyAlignment="1">
      <alignment horizontal="right" vertical="top" shrinkToFit="1"/>
    </xf>
    <xf numFmtId="168" fontId="12" fillId="8" borderId="4" xfId="0" applyNumberFormat="1" applyFont="1" applyFill="1" applyBorder="1" applyAlignment="1">
      <alignment vertical="top" wrapText="1"/>
    </xf>
    <xf numFmtId="168" fontId="12" fillId="8" borderId="4" xfId="0" applyNumberFormat="1" applyFont="1" applyFill="1" applyBorder="1" applyAlignment="1">
      <alignment horizontal="center" vertical="top" wrapText="1"/>
    </xf>
    <xf numFmtId="41" fontId="12" fillId="8" borderId="4" xfId="0" applyNumberFormat="1" applyFont="1" applyFill="1" applyBorder="1" applyAlignment="1">
      <alignment vertical="top" wrapText="1"/>
    </xf>
    <xf numFmtId="41" fontId="13" fillId="8" borderId="4" xfId="0" applyNumberFormat="1" applyFont="1" applyFill="1" applyBorder="1" applyAlignment="1">
      <alignment horizontal="center" vertical="top"/>
    </xf>
    <xf numFmtId="41" fontId="13" fillId="8" borderId="4" xfId="2" applyFont="1" applyFill="1" applyBorder="1" applyAlignment="1">
      <alignment horizontal="center" vertical="top"/>
    </xf>
    <xf numFmtId="9" fontId="12" fillId="8" borderId="4" xfId="4" applyFont="1" applyFill="1" applyBorder="1" applyAlignment="1">
      <alignment horizontal="center" vertical="top"/>
    </xf>
    <xf numFmtId="9" fontId="13" fillId="8" borderId="4" xfId="0" applyNumberFormat="1" applyFont="1" applyFill="1" applyBorder="1" applyAlignment="1">
      <alignment horizontal="center" vertical="top"/>
    </xf>
    <xf numFmtId="2" fontId="13" fillId="8" borderId="4" xfId="0" applyNumberFormat="1" applyFont="1" applyFill="1" applyBorder="1" applyAlignment="1">
      <alignment horizontal="center" vertical="top"/>
    </xf>
    <xf numFmtId="41" fontId="12" fillId="8" borderId="4" xfId="6" applyNumberFormat="1" applyFont="1" applyFill="1" applyBorder="1" applyAlignment="1">
      <alignment horizontal="right" vertical="top" wrapText="1"/>
    </xf>
    <xf numFmtId="166" fontId="9" fillId="8" borderId="4" xfId="0" applyNumberFormat="1" applyFont="1" applyFill="1" applyBorder="1" applyAlignment="1">
      <alignment horizontal="center" vertical="top" wrapText="1"/>
    </xf>
    <xf numFmtId="41" fontId="12" fillId="8" borderId="4" xfId="6" applyNumberFormat="1" applyFont="1" applyFill="1" applyBorder="1" applyAlignment="1">
      <alignment horizontal="center" vertical="top" wrapText="1"/>
    </xf>
    <xf numFmtId="41" fontId="12" fillId="8" borderId="4" xfId="2" applyFont="1" applyFill="1" applyBorder="1" applyAlignment="1">
      <alignment vertical="top" wrapText="1"/>
    </xf>
    <xf numFmtId="41" fontId="12" fillId="8" borderId="4" xfId="0" applyNumberFormat="1" applyFont="1" applyFill="1" applyBorder="1" applyAlignment="1">
      <alignment vertical="top"/>
    </xf>
    <xf numFmtId="0" fontId="9" fillId="8" borderId="4" xfId="5" applyFont="1" applyFill="1" applyBorder="1" applyAlignment="1" applyProtection="1">
      <alignment horizontal="center" vertical="top" wrapText="1"/>
      <protection locked="0"/>
    </xf>
    <xf numFmtId="166" fontId="12" fillId="8" borderId="4" xfId="0" applyNumberFormat="1" applyFont="1" applyFill="1" applyBorder="1" applyAlignment="1">
      <alignment vertical="top" wrapText="1"/>
    </xf>
    <xf numFmtId="0" fontId="11" fillId="8" borderId="4" xfId="0" applyFont="1" applyFill="1" applyBorder="1" applyAlignment="1">
      <alignment horizontal="center" vertical="top"/>
    </xf>
    <xf numFmtId="167" fontId="9" fillId="8" borderId="4" xfId="0" applyNumberFormat="1" applyFont="1" applyFill="1" applyBorder="1" applyAlignment="1">
      <alignment horizontal="center" vertical="top" wrapText="1"/>
    </xf>
    <xf numFmtId="41" fontId="12" fillId="8" borderId="4" xfId="0" applyNumberFormat="1" applyFont="1" applyFill="1" applyBorder="1" applyAlignment="1">
      <alignment horizontal="center" vertical="top" wrapText="1"/>
    </xf>
    <xf numFmtId="0" fontId="13" fillId="8" borderId="4" xfId="0" applyFont="1" applyFill="1" applyBorder="1" applyAlignment="1">
      <alignment horizontal="center" vertical="top"/>
    </xf>
    <xf numFmtId="41" fontId="12" fillId="8" borderId="4" xfId="0" applyNumberFormat="1" applyFont="1" applyFill="1" applyBorder="1" applyAlignment="1">
      <alignment horizontal="center" vertical="top"/>
    </xf>
    <xf numFmtId="1" fontId="13" fillId="8" borderId="4" xfId="0" applyNumberFormat="1" applyFont="1" applyFill="1" applyBorder="1" applyAlignment="1">
      <alignment horizontal="center" vertical="top"/>
    </xf>
    <xf numFmtId="168" fontId="12" fillId="0" borderId="4" xfId="0" applyNumberFormat="1" applyFont="1" applyBorder="1" applyAlignment="1">
      <alignment vertical="top" wrapText="1"/>
    </xf>
    <xf numFmtId="41" fontId="12" fillId="8" borderId="16" xfId="6" applyNumberFormat="1" applyFont="1" applyFill="1" applyBorder="1" applyAlignment="1">
      <alignment horizontal="center" vertical="top" wrapText="1"/>
    </xf>
    <xf numFmtId="0" fontId="12" fillId="8" borderId="4" xfId="6" applyFont="1" applyFill="1" applyBorder="1" applyAlignment="1">
      <alignment horizontal="center" vertical="top" wrapText="1"/>
    </xf>
    <xf numFmtId="0" fontId="9" fillId="8" borderId="4" xfId="6" applyFont="1" applyFill="1" applyBorder="1" applyAlignment="1">
      <alignment vertical="top" wrapText="1"/>
    </xf>
    <xf numFmtId="41" fontId="10" fillId="0" borderId="4" xfId="0" applyNumberFormat="1" applyFont="1" applyBorder="1" applyAlignment="1">
      <alignment vertical="top"/>
    </xf>
    <xf numFmtId="0" fontId="11" fillId="8" borderId="4" xfId="0" applyFont="1" applyFill="1" applyBorder="1"/>
    <xf numFmtId="0" fontId="12" fillId="8" borderId="4" xfId="6" applyFont="1" applyFill="1" applyBorder="1" applyAlignment="1">
      <alignment horizontal="left" vertical="top" wrapText="1"/>
    </xf>
    <xf numFmtId="0" fontId="12" fillId="8" borderId="4" xfId="6" applyFont="1" applyFill="1" applyBorder="1" applyAlignment="1">
      <alignment horizontal="center" vertical="top"/>
    </xf>
    <xf numFmtId="41" fontId="12" fillId="8" borderId="17" xfId="0" applyNumberFormat="1" applyFont="1" applyFill="1" applyBorder="1" applyAlignment="1">
      <alignment horizontal="center" vertical="top" wrapText="1"/>
    </xf>
    <xf numFmtId="0" fontId="13" fillId="8" borderId="4" xfId="0" applyFont="1" applyFill="1" applyBorder="1"/>
    <xf numFmtId="166" fontId="9" fillId="8" borderId="4" xfId="0" applyNumberFormat="1" applyFont="1" applyFill="1" applyBorder="1" applyAlignment="1">
      <alignment horizontal="right" vertical="top" wrapText="1"/>
    </xf>
    <xf numFmtId="2" fontId="9" fillId="8" borderId="4" xfId="0" applyNumberFormat="1" applyFont="1" applyFill="1" applyBorder="1" applyAlignment="1">
      <alignment horizontal="right" vertical="top"/>
    </xf>
    <xf numFmtId="1" fontId="12" fillId="8" borderId="4" xfId="6" applyNumberFormat="1" applyFont="1" applyFill="1" applyBorder="1" applyAlignment="1">
      <alignment horizontal="right" vertical="top" wrapText="1"/>
    </xf>
    <xf numFmtId="0" fontId="12" fillId="8" borderId="4" xfId="7" applyFont="1" applyFill="1" applyBorder="1" applyAlignment="1">
      <alignment vertical="top" wrapText="1"/>
    </xf>
    <xf numFmtId="0" fontId="12" fillId="8" borderId="4" xfId="6" applyFont="1" applyFill="1" applyBorder="1" applyAlignment="1">
      <alignment horizontal="right" vertical="top" wrapText="1"/>
    </xf>
    <xf numFmtId="0" fontId="13" fillId="8" borderId="4" xfId="0" applyFont="1" applyFill="1" applyBorder="1" applyAlignment="1">
      <alignment horizontal="right" vertical="top"/>
    </xf>
    <xf numFmtId="168" fontId="12" fillId="8" borderId="4" xfId="0" applyNumberFormat="1" applyFont="1" applyFill="1" applyBorder="1" applyAlignment="1">
      <alignment horizontal="left" vertical="top" wrapText="1"/>
    </xf>
    <xf numFmtId="0" fontId="9" fillId="8" borderId="4" xfId="0" applyFont="1" applyFill="1" applyBorder="1" applyAlignment="1">
      <alignment horizontal="left" vertical="top" wrapText="1"/>
    </xf>
    <xf numFmtId="0" fontId="13" fillId="8" borderId="4" xfId="0" quotePrefix="1" applyFont="1" applyFill="1" applyBorder="1" applyAlignment="1">
      <alignment horizontal="center" vertical="top"/>
    </xf>
    <xf numFmtId="0" fontId="14" fillId="8" borderId="4" xfId="0" applyFont="1" applyFill="1" applyBorder="1" applyAlignment="1">
      <alignment horizontal="left" vertical="top" wrapText="1"/>
    </xf>
    <xf numFmtId="0" fontId="12" fillId="8" borderId="4" xfId="0" applyFont="1" applyFill="1" applyBorder="1" applyAlignment="1">
      <alignment horizontal="left" vertical="top" wrapText="1"/>
    </xf>
    <xf numFmtId="41" fontId="14" fillId="8" borderId="4" xfId="0" applyNumberFormat="1" applyFont="1" applyFill="1" applyBorder="1" applyAlignment="1">
      <alignment vertical="top"/>
    </xf>
    <xf numFmtId="168" fontId="9" fillId="8" borderId="4" xfId="0" applyNumberFormat="1" applyFont="1" applyFill="1" applyBorder="1" applyAlignment="1">
      <alignment vertical="top"/>
    </xf>
    <xf numFmtId="9" fontId="12" fillId="8" borderId="4" xfId="6" applyNumberFormat="1" applyFont="1" applyFill="1" applyBorder="1" applyAlignment="1">
      <alignment vertical="top" wrapText="1"/>
    </xf>
    <xf numFmtId="168" fontId="9" fillId="8" borderId="4" xfId="0" applyNumberFormat="1" applyFont="1" applyFill="1" applyBorder="1" applyAlignment="1">
      <alignment vertical="top" wrapText="1"/>
    </xf>
    <xf numFmtId="168" fontId="12" fillId="8" borderId="4" xfId="0" applyNumberFormat="1" applyFont="1" applyFill="1" applyBorder="1" applyAlignment="1">
      <alignment horizontal="right" vertical="top" wrapText="1"/>
    </xf>
    <xf numFmtId="41" fontId="12" fillId="8" borderId="16" xfId="0" applyNumberFormat="1" applyFont="1" applyFill="1" applyBorder="1" applyAlignment="1">
      <alignment horizontal="center" vertical="top" wrapText="1"/>
    </xf>
    <xf numFmtId="168" fontId="12" fillId="8" borderId="4" xfId="1" applyNumberFormat="1" applyFont="1" applyFill="1" applyBorder="1" applyAlignment="1">
      <alignment horizontal="right" vertical="top"/>
    </xf>
    <xf numFmtId="0" fontId="12" fillId="8" borderId="4" xfId="0" applyFont="1" applyFill="1" applyBorder="1" applyAlignment="1">
      <alignment horizontal="right" vertical="top"/>
    </xf>
    <xf numFmtId="0" fontId="12" fillId="8" borderId="4" xfId="6" applyFont="1" applyFill="1" applyBorder="1" applyAlignment="1">
      <alignment horizontal="right" vertical="top"/>
    </xf>
    <xf numFmtId="1" fontId="12" fillId="8" borderId="4" xfId="6" applyNumberFormat="1" applyFont="1" applyFill="1" applyBorder="1" applyAlignment="1">
      <alignment horizontal="right" vertical="top"/>
    </xf>
    <xf numFmtId="169" fontId="12" fillId="8" borderId="4" xfId="6" applyNumberFormat="1" applyFont="1" applyFill="1" applyBorder="1" applyAlignment="1">
      <alignment horizontal="right" vertical="top"/>
    </xf>
    <xf numFmtId="1" fontId="13" fillId="8" borderId="4" xfId="0" applyNumberFormat="1" applyFont="1" applyFill="1" applyBorder="1" applyAlignment="1">
      <alignment vertical="top"/>
    </xf>
    <xf numFmtId="0" fontId="13" fillId="8" borderId="4" xfId="0" applyFont="1" applyFill="1" applyBorder="1" applyAlignment="1">
      <alignment vertical="top"/>
    </xf>
    <xf numFmtId="1" fontId="9" fillId="8" borderId="4" xfId="0" applyNumberFormat="1" applyFont="1" applyFill="1" applyBorder="1" applyAlignment="1">
      <alignment vertical="top" wrapText="1"/>
    </xf>
    <xf numFmtId="1" fontId="12" fillId="8" borderId="4" xfId="0" applyNumberFormat="1" applyFont="1" applyFill="1" applyBorder="1" applyAlignment="1">
      <alignment vertical="top" wrapText="1"/>
    </xf>
    <xf numFmtId="0" fontId="12" fillId="8" borderId="4" xfId="7" quotePrefix="1" applyFont="1" applyFill="1" applyBorder="1" applyAlignment="1">
      <alignment vertical="top" wrapText="1"/>
    </xf>
    <xf numFmtId="1" fontId="12" fillId="8" borderId="4" xfId="7" applyNumberFormat="1" applyFont="1" applyFill="1" applyBorder="1" applyAlignment="1">
      <alignment horizontal="right" vertical="top" wrapText="1"/>
    </xf>
    <xf numFmtId="41" fontId="12" fillId="8" borderId="4" xfId="7" applyNumberFormat="1" applyFont="1" applyFill="1" applyBorder="1" applyAlignment="1">
      <alignment horizontal="right" vertical="top" wrapText="1"/>
    </xf>
    <xf numFmtId="0" fontId="12" fillId="8" borderId="4" xfId="7" applyFont="1" applyFill="1" applyBorder="1" applyAlignment="1">
      <alignment horizontal="right" vertical="top" wrapText="1"/>
    </xf>
    <xf numFmtId="0" fontId="9" fillId="8" borderId="4" xfId="0" applyFont="1" applyFill="1" applyBorder="1" applyAlignment="1">
      <alignment horizontal="center" vertical="top"/>
    </xf>
    <xf numFmtId="0" fontId="12" fillId="8" borderId="4" xfId="0" applyFont="1" applyFill="1" applyBorder="1" applyAlignment="1">
      <alignment horizontal="center" vertical="top"/>
    </xf>
    <xf numFmtId="168" fontId="12" fillId="8" borderId="4" xfId="0" applyNumberFormat="1" applyFont="1" applyFill="1" applyBorder="1"/>
    <xf numFmtId="0" fontId="13" fillId="8" borderId="4" xfId="0" applyFont="1" applyFill="1" applyBorder="1" applyAlignment="1">
      <alignment horizontal="center"/>
    </xf>
    <xf numFmtId="0" fontId="9" fillId="9" borderId="4" xfId="0" applyFont="1" applyFill="1" applyBorder="1" applyAlignment="1">
      <alignment horizontal="center" vertical="top" wrapText="1"/>
    </xf>
    <xf numFmtId="0" fontId="9" fillId="9" borderId="4" xfId="0" quotePrefix="1" applyFont="1" applyFill="1" applyBorder="1" applyAlignment="1">
      <alignment horizontal="center" vertical="top" wrapText="1"/>
    </xf>
    <xf numFmtId="0" fontId="9" fillId="9" borderId="4" xfId="0" applyFont="1" applyFill="1" applyBorder="1" applyAlignment="1">
      <alignment vertical="top" wrapText="1"/>
    </xf>
    <xf numFmtId="0" fontId="12" fillId="9" borderId="4" xfId="0" applyFont="1" applyFill="1" applyBorder="1" applyAlignment="1">
      <alignment vertical="top"/>
    </xf>
    <xf numFmtId="0" fontId="12" fillId="9" borderId="4" xfId="0" applyFont="1" applyFill="1" applyBorder="1" applyAlignment="1">
      <alignment horizontal="left" vertical="top"/>
    </xf>
    <xf numFmtId="166" fontId="9" fillId="9" borderId="4" xfId="0" applyNumberFormat="1" applyFont="1" applyFill="1" applyBorder="1" applyAlignment="1">
      <alignment vertical="top" wrapText="1"/>
    </xf>
    <xf numFmtId="41" fontId="11" fillId="9" borderId="4" xfId="0" applyNumberFormat="1" applyFont="1" applyFill="1" applyBorder="1" applyAlignment="1">
      <alignment vertical="top"/>
    </xf>
    <xf numFmtId="0" fontId="12" fillId="9" borderId="4" xfId="0" applyFont="1" applyFill="1" applyBorder="1" applyAlignment="1">
      <alignment horizontal="right" vertical="top"/>
    </xf>
    <xf numFmtId="0" fontId="13" fillId="9" borderId="4" xfId="0" applyFont="1" applyFill="1" applyBorder="1"/>
    <xf numFmtId="0" fontId="13" fillId="9" borderId="4" xfId="0" applyFont="1" applyFill="1" applyBorder="1" applyAlignment="1">
      <alignment vertical="top"/>
    </xf>
    <xf numFmtId="0" fontId="13" fillId="9" borderId="4" xfId="0" applyFont="1" applyFill="1" applyBorder="1" applyAlignment="1">
      <alignment horizontal="center"/>
    </xf>
    <xf numFmtId="9" fontId="11" fillId="9" borderId="4" xfId="0" applyNumberFormat="1" applyFont="1" applyFill="1" applyBorder="1" applyAlignment="1">
      <alignment horizontal="center" vertical="top"/>
    </xf>
    <xf numFmtId="41" fontId="11" fillId="9" borderId="4" xfId="0" applyNumberFormat="1" applyFont="1" applyFill="1" applyBorder="1"/>
    <xf numFmtId="0" fontId="9" fillId="9" borderId="4" xfId="4" applyNumberFormat="1" applyFont="1" applyFill="1" applyBorder="1" applyAlignment="1">
      <alignment horizontal="center" vertical="top"/>
    </xf>
    <xf numFmtId="9" fontId="9" fillId="9" borderId="4" xfId="4" applyFont="1" applyFill="1" applyBorder="1" applyAlignment="1">
      <alignment horizontal="center" vertical="top"/>
    </xf>
    <xf numFmtId="0" fontId="9" fillId="9" borderId="4" xfId="7" applyFont="1" applyFill="1" applyBorder="1" applyAlignment="1">
      <alignment vertical="top" wrapText="1"/>
    </xf>
    <xf numFmtId="0" fontId="9" fillId="9" borderId="4" xfId="0" applyFont="1" applyFill="1" applyBorder="1" applyAlignment="1">
      <alignment horizontal="left" vertical="top"/>
    </xf>
    <xf numFmtId="170" fontId="9" fillId="9" borderId="4" xfId="7" applyNumberFormat="1" applyFont="1" applyFill="1" applyBorder="1" applyAlignment="1">
      <alignment horizontal="right" vertical="top" wrapText="1"/>
    </xf>
    <xf numFmtId="2" fontId="11" fillId="9" borderId="4" xfId="0" applyNumberFormat="1" applyFont="1" applyFill="1" applyBorder="1" applyAlignment="1">
      <alignment vertical="top"/>
    </xf>
    <xf numFmtId="168" fontId="9" fillId="9" borderId="4" xfId="0" applyNumberFormat="1" applyFont="1" applyFill="1" applyBorder="1" applyAlignment="1">
      <alignment vertical="top"/>
    </xf>
    <xf numFmtId="43" fontId="11" fillId="9" borderId="4" xfId="1" applyFont="1" applyFill="1" applyBorder="1" applyAlignment="1">
      <alignment vertical="top"/>
    </xf>
    <xf numFmtId="0" fontId="9" fillId="8" borderId="4" xfId="7" applyFont="1" applyFill="1" applyBorder="1" applyAlignment="1">
      <alignment vertical="top" wrapText="1"/>
    </xf>
    <xf numFmtId="0" fontId="11" fillId="8" borderId="4" xfId="0" applyFont="1" applyFill="1" applyBorder="1" applyAlignment="1">
      <alignment horizontal="center" vertical="top" wrapText="1"/>
    </xf>
    <xf numFmtId="0" fontId="12" fillId="8" borderId="4" xfId="0" quotePrefix="1" applyFont="1" applyFill="1" applyBorder="1" applyAlignment="1">
      <alignment vertical="top" wrapText="1"/>
    </xf>
    <xf numFmtId="3" fontId="12" fillId="8" borderId="4" xfId="7" applyNumberFormat="1" applyFont="1" applyFill="1" applyBorder="1" applyAlignment="1">
      <alignment horizontal="right" vertical="top" wrapText="1"/>
    </xf>
    <xf numFmtId="0" fontId="12" fillId="10" borderId="4" xfId="0" applyFont="1" applyFill="1" applyBorder="1" applyAlignment="1">
      <alignment horizontal="center" vertical="top" wrapText="1"/>
    </xf>
    <xf numFmtId="0" fontId="12" fillId="10" borderId="4" xfId="0" quotePrefix="1" applyFont="1" applyFill="1" applyBorder="1" applyAlignment="1">
      <alignment horizontal="center" vertical="top" wrapText="1"/>
    </xf>
    <xf numFmtId="0" fontId="12" fillId="10" borderId="4" xfId="0" applyFont="1" applyFill="1" applyBorder="1" applyAlignment="1">
      <alignment vertical="top" wrapText="1"/>
    </xf>
    <xf numFmtId="0" fontId="9" fillId="10" borderId="4" xfId="6" applyFont="1" applyFill="1" applyBorder="1" applyAlignment="1">
      <alignment vertical="top" wrapText="1"/>
    </xf>
    <xf numFmtId="0" fontId="9" fillId="10" borderId="4" xfId="0" applyFont="1" applyFill="1" applyBorder="1" applyAlignment="1">
      <alignment horizontal="left" vertical="top"/>
    </xf>
    <xf numFmtId="2" fontId="9" fillId="10" borderId="4" xfId="0" applyNumberFormat="1" applyFont="1" applyFill="1" applyBorder="1" applyAlignment="1">
      <alignment horizontal="right" vertical="top"/>
    </xf>
    <xf numFmtId="41" fontId="11" fillId="10" borderId="4" xfId="0" applyNumberFormat="1" applyFont="1" applyFill="1" applyBorder="1" applyAlignment="1">
      <alignment horizontal="center" vertical="top"/>
    </xf>
    <xf numFmtId="0" fontId="13" fillId="10" borderId="4" xfId="0" applyFont="1" applyFill="1" applyBorder="1"/>
    <xf numFmtId="171" fontId="9" fillId="10" borderId="4" xfId="4" applyNumberFormat="1" applyFont="1" applyFill="1" applyBorder="1" applyAlignment="1">
      <alignment horizontal="center" vertical="top"/>
    </xf>
    <xf numFmtId="9" fontId="11" fillId="10" borderId="4" xfId="0" applyNumberFormat="1" applyFont="1" applyFill="1" applyBorder="1" applyAlignment="1">
      <alignment horizontal="center" vertical="top"/>
    </xf>
    <xf numFmtId="0" fontId="11" fillId="10" borderId="4" xfId="0" applyFont="1" applyFill="1" applyBorder="1"/>
    <xf numFmtId="9" fontId="9" fillId="10" borderId="4" xfId="4" applyFont="1" applyFill="1" applyBorder="1" applyAlignment="1">
      <alignment horizontal="center" vertical="top"/>
    </xf>
    <xf numFmtId="41" fontId="11" fillId="8" borderId="4" xfId="0" applyNumberFormat="1" applyFont="1" applyFill="1" applyBorder="1" applyAlignment="1">
      <alignment horizontal="center" vertical="top"/>
    </xf>
    <xf numFmtId="166" fontId="9" fillId="10" borderId="4" xfId="0" applyNumberFormat="1" applyFont="1" applyFill="1" applyBorder="1" applyAlignment="1">
      <alignment vertical="top" wrapText="1"/>
    </xf>
    <xf numFmtId="41" fontId="10" fillId="10" borderId="4" xfId="0" applyNumberFormat="1" applyFont="1" applyFill="1" applyBorder="1" applyAlignment="1">
      <alignment vertical="top"/>
    </xf>
    <xf numFmtId="170" fontId="9" fillId="10" borderId="4" xfId="0" applyNumberFormat="1" applyFont="1" applyFill="1" applyBorder="1" applyAlignment="1">
      <alignment horizontal="right" vertical="top"/>
    </xf>
    <xf numFmtId="41" fontId="9" fillId="10" borderId="4" xfId="0" applyNumberFormat="1" applyFont="1" applyFill="1" applyBorder="1" applyAlignment="1">
      <alignment vertical="top" wrapText="1"/>
    </xf>
    <xf numFmtId="41" fontId="9" fillId="10" borderId="4" xfId="0" applyNumberFormat="1" applyFont="1" applyFill="1" applyBorder="1" applyAlignment="1">
      <alignment horizontal="right" vertical="top"/>
    </xf>
    <xf numFmtId="41" fontId="12" fillId="8" borderId="4" xfId="0" applyNumberFormat="1" applyFont="1" applyFill="1" applyBorder="1" applyAlignment="1">
      <alignment horizontal="right" vertical="top"/>
    </xf>
    <xf numFmtId="41" fontId="9" fillId="8" borderId="4" xfId="0" applyNumberFormat="1" applyFont="1" applyFill="1" applyBorder="1" applyAlignment="1">
      <alignment horizontal="right" vertical="top"/>
    </xf>
    <xf numFmtId="41" fontId="9" fillId="8" borderId="4" xfId="4" applyNumberFormat="1" applyFont="1" applyFill="1" applyBorder="1" applyAlignment="1">
      <alignment horizontal="center" vertical="top"/>
    </xf>
    <xf numFmtId="41" fontId="13" fillId="8" borderId="4" xfId="0" applyNumberFormat="1" applyFont="1" applyFill="1" applyBorder="1"/>
    <xf numFmtId="0" fontId="11" fillId="8" borderId="4" xfId="0" applyFont="1" applyFill="1" applyBorder="1" applyAlignment="1">
      <alignment horizontal="left" vertical="top" wrapText="1"/>
    </xf>
    <xf numFmtId="41" fontId="12" fillId="8" borderId="4" xfId="6" applyNumberFormat="1" applyFont="1" applyFill="1" applyBorder="1" applyAlignment="1">
      <alignment horizontal="right" vertical="top"/>
    </xf>
    <xf numFmtId="2" fontId="11" fillId="10" borderId="4" xfId="0" applyNumberFormat="1" applyFont="1" applyFill="1" applyBorder="1" applyAlignment="1">
      <alignment vertical="top"/>
    </xf>
    <xf numFmtId="0" fontId="11" fillId="10" borderId="4" xfId="0" applyFont="1" applyFill="1" applyBorder="1" applyAlignment="1">
      <alignment vertical="top"/>
    </xf>
    <xf numFmtId="170" fontId="11" fillId="10" borderId="4" xfId="0" applyNumberFormat="1" applyFont="1" applyFill="1" applyBorder="1" applyAlignment="1">
      <alignment horizontal="center" vertical="top"/>
    </xf>
    <xf numFmtId="2" fontId="11" fillId="10" borderId="4" xfId="0" applyNumberFormat="1" applyFont="1" applyFill="1" applyBorder="1" applyAlignment="1">
      <alignment horizontal="center" vertical="top"/>
    </xf>
    <xf numFmtId="41" fontId="11" fillId="10" borderId="4" xfId="2" applyFont="1" applyFill="1" applyBorder="1" applyAlignment="1">
      <alignment horizontal="center" vertical="top"/>
    </xf>
    <xf numFmtId="0" fontId="11" fillId="10" borderId="4" xfId="0" applyFont="1" applyFill="1" applyBorder="1" applyAlignment="1">
      <alignment horizontal="left" vertical="top" wrapText="1"/>
    </xf>
    <xf numFmtId="0" fontId="9" fillId="8" borderId="4" xfId="0" applyFont="1" applyFill="1" applyBorder="1" applyAlignment="1">
      <alignment wrapText="1"/>
    </xf>
    <xf numFmtId="0" fontId="13" fillId="8" borderId="4" xfId="0" applyFont="1" applyFill="1" applyBorder="1" applyAlignment="1">
      <alignment horizontal="right" vertical="top" wrapText="1"/>
    </xf>
    <xf numFmtId="0" fontId="9" fillId="11" borderId="4" xfId="0" applyFont="1" applyFill="1" applyBorder="1" applyAlignment="1">
      <alignment horizontal="center" vertical="top" wrapText="1"/>
    </xf>
    <xf numFmtId="0" fontId="9" fillId="11" borderId="4" xfId="0" quotePrefix="1" applyFont="1" applyFill="1" applyBorder="1" applyAlignment="1">
      <alignment horizontal="center" vertical="top" wrapText="1"/>
    </xf>
    <xf numFmtId="0" fontId="9" fillId="11" borderId="4" xfId="0" applyFont="1" applyFill="1" applyBorder="1" applyAlignment="1">
      <alignment vertical="top" wrapText="1"/>
    </xf>
    <xf numFmtId="0" fontId="12" fillId="11" borderId="4" xfId="0" applyFont="1" applyFill="1" applyBorder="1" applyAlignment="1">
      <alignment vertical="top"/>
    </xf>
    <xf numFmtId="2" fontId="9" fillId="10" borderId="4" xfId="8" applyNumberFormat="1" applyFont="1" applyFill="1" applyBorder="1" applyAlignment="1">
      <alignment horizontal="right" vertical="top"/>
    </xf>
    <xf numFmtId="41" fontId="11" fillId="11" borderId="4" xfId="0" applyNumberFormat="1" applyFont="1" applyFill="1" applyBorder="1" applyAlignment="1">
      <alignment vertical="top"/>
    </xf>
    <xf numFmtId="2" fontId="9" fillId="11" borderId="4" xfId="0" applyNumberFormat="1" applyFont="1" applyFill="1" applyBorder="1" applyAlignment="1">
      <alignment horizontal="right" vertical="top"/>
    </xf>
    <xf numFmtId="41" fontId="9" fillId="11" borderId="4" xfId="0" applyNumberFormat="1" applyFont="1" applyFill="1" applyBorder="1" applyAlignment="1">
      <alignment vertical="top" wrapText="1"/>
    </xf>
    <xf numFmtId="2" fontId="11" fillId="11" borderId="4" xfId="0" applyNumberFormat="1" applyFont="1" applyFill="1" applyBorder="1"/>
    <xf numFmtId="0" fontId="13" fillId="11" borderId="4" xfId="0" applyFont="1" applyFill="1" applyBorder="1"/>
    <xf numFmtId="9" fontId="11" fillId="11" borderId="4" xfId="0" applyNumberFormat="1" applyFont="1" applyFill="1" applyBorder="1" applyAlignment="1">
      <alignment vertical="top"/>
    </xf>
    <xf numFmtId="0" fontId="11" fillId="11" borderId="4" xfId="0" applyFont="1" applyFill="1" applyBorder="1"/>
    <xf numFmtId="0" fontId="9" fillId="11" borderId="4" xfId="6" applyFont="1" applyFill="1" applyBorder="1" applyAlignment="1">
      <alignment horizontal="left" vertical="top" wrapText="1"/>
    </xf>
    <xf numFmtId="2" fontId="9" fillId="11" borderId="4" xfId="8" applyNumberFormat="1" applyFont="1" applyFill="1" applyBorder="1" applyAlignment="1">
      <alignment horizontal="right" vertical="top" wrapText="1"/>
    </xf>
    <xf numFmtId="2" fontId="11" fillId="11" borderId="4" xfId="0" applyNumberFormat="1" applyFont="1" applyFill="1" applyBorder="1" applyAlignment="1">
      <alignment vertical="top"/>
    </xf>
    <xf numFmtId="41" fontId="13" fillId="11" borderId="4" xfId="0" applyNumberFormat="1" applyFont="1" applyFill="1" applyBorder="1"/>
    <xf numFmtId="0" fontId="9" fillId="11" borderId="4" xfId="0" applyFont="1" applyFill="1" applyBorder="1" applyAlignment="1">
      <alignment horizontal="left" vertical="top"/>
    </xf>
    <xf numFmtId="166" fontId="9" fillId="11" borderId="4" xfId="0" applyNumberFormat="1" applyFont="1" applyFill="1" applyBorder="1" applyAlignment="1">
      <alignment horizontal="center" vertical="top" wrapText="1"/>
    </xf>
    <xf numFmtId="166" fontId="9" fillId="11" borderId="4" xfId="0" applyNumberFormat="1" applyFont="1" applyFill="1" applyBorder="1" applyAlignment="1">
      <alignment horizontal="right" vertical="top" wrapText="1"/>
    </xf>
    <xf numFmtId="39" fontId="9" fillId="11" borderId="4" xfId="0" applyNumberFormat="1" applyFont="1" applyFill="1" applyBorder="1" applyAlignment="1">
      <alignment vertical="top" wrapText="1"/>
    </xf>
    <xf numFmtId="41" fontId="9" fillId="11" borderId="4" xfId="0" applyNumberFormat="1" applyFont="1" applyFill="1" applyBorder="1" applyAlignment="1">
      <alignment vertical="top"/>
    </xf>
    <xf numFmtId="170" fontId="11" fillId="11" borderId="4" xfId="0" applyNumberFormat="1" applyFont="1" applyFill="1" applyBorder="1" applyAlignment="1">
      <alignment vertical="top"/>
    </xf>
    <xf numFmtId="166" fontId="11" fillId="11" borderId="4" xfId="0" applyNumberFormat="1" applyFont="1" applyFill="1" applyBorder="1" applyAlignment="1">
      <alignment vertical="top"/>
    </xf>
    <xf numFmtId="172" fontId="9" fillId="11" borderId="4" xfId="4" applyNumberFormat="1" applyFont="1" applyFill="1" applyBorder="1" applyAlignment="1">
      <alignment horizontal="center" vertical="top"/>
    </xf>
    <xf numFmtId="9" fontId="11" fillId="11" borderId="4" xfId="0" applyNumberFormat="1" applyFont="1" applyFill="1" applyBorder="1" applyAlignment="1">
      <alignment horizontal="center" vertical="top"/>
    </xf>
    <xf numFmtId="1" fontId="13" fillId="11" borderId="4" xfId="0" applyNumberFormat="1" applyFont="1" applyFill="1" applyBorder="1" applyAlignment="1">
      <alignment horizontal="center" vertical="top"/>
    </xf>
    <xf numFmtId="2" fontId="9" fillId="8" borderId="4" xfId="8" applyNumberFormat="1" applyFont="1" applyFill="1" applyBorder="1" applyAlignment="1">
      <alignment horizontal="right" vertical="top"/>
    </xf>
    <xf numFmtId="41" fontId="9" fillId="8" borderId="4" xfId="0" applyNumberFormat="1" applyFont="1" applyFill="1" applyBorder="1" applyAlignment="1">
      <alignment vertical="top"/>
    </xf>
    <xf numFmtId="10" fontId="9" fillId="8" borderId="4" xfId="4" applyNumberFormat="1" applyFont="1" applyFill="1" applyBorder="1" applyAlignment="1">
      <alignment horizontal="center" vertical="top"/>
    </xf>
    <xf numFmtId="1" fontId="11" fillId="8" borderId="4" xfId="0" applyNumberFormat="1" applyFont="1" applyFill="1" applyBorder="1" applyAlignment="1">
      <alignment horizontal="center" vertical="top"/>
    </xf>
    <xf numFmtId="0" fontId="12" fillId="8" borderId="4" xfId="0" applyFont="1" applyFill="1" applyBorder="1" applyAlignment="1">
      <alignment horizontal="justify" vertical="top" wrapText="1"/>
    </xf>
    <xf numFmtId="41" fontId="9" fillId="0" borderId="4" xfId="0" applyNumberFormat="1" applyFont="1" applyBorder="1" applyAlignment="1">
      <alignment vertical="top" wrapText="1"/>
    </xf>
    <xf numFmtId="0" fontId="12" fillId="10" borderId="4" xfId="0" applyFont="1" applyFill="1" applyBorder="1" applyAlignment="1">
      <alignment horizontal="justify" vertical="top" wrapText="1"/>
    </xf>
    <xf numFmtId="41" fontId="9" fillId="10" borderId="4" xfId="0" applyNumberFormat="1" applyFont="1" applyFill="1" applyBorder="1" applyAlignment="1">
      <alignment vertical="top"/>
    </xf>
    <xf numFmtId="41" fontId="11" fillId="10" borderId="4" xfId="0" applyNumberFormat="1" applyFont="1" applyFill="1" applyBorder="1" applyAlignment="1">
      <alignment vertical="top"/>
    </xf>
    <xf numFmtId="1" fontId="11" fillId="10" borderId="4" xfId="0" applyNumberFormat="1" applyFont="1" applyFill="1" applyBorder="1" applyAlignment="1">
      <alignment horizontal="center" vertical="top"/>
    </xf>
    <xf numFmtId="41" fontId="11" fillId="8" borderId="4" xfId="0" applyNumberFormat="1" applyFont="1" applyFill="1" applyBorder="1" applyAlignment="1">
      <alignment vertical="top"/>
    </xf>
    <xf numFmtId="0" fontId="11" fillId="8" borderId="4" xfId="0" applyFont="1" applyFill="1" applyBorder="1" applyAlignment="1">
      <alignment vertical="top"/>
    </xf>
    <xf numFmtId="41" fontId="13" fillId="8" borderId="4" xfId="0" applyNumberFormat="1" applyFont="1" applyFill="1" applyBorder="1" applyAlignment="1">
      <alignment vertical="top"/>
    </xf>
    <xf numFmtId="0" fontId="12" fillId="8" borderId="4" xfId="7" applyFont="1" applyFill="1" applyBorder="1" applyAlignment="1">
      <alignment horizontal="left" vertical="top" wrapText="1"/>
    </xf>
    <xf numFmtId="0" fontId="11" fillId="8" borderId="13" xfId="0" applyFont="1" applyFill="1" applyBorder="1"/>
    <xf numFmtId="0" fontId="11" fillId="8" borderId="14" xfId="0" applyFont="1" applyFill="1" applyBorder="1"/>
    <xf numFmtId="41" fontId="11" fillId="8" borderId="4" xfId="0" applyNumberFormat="1" applyFont="1" applyFill="1" applyBorder="1"/>
    <xf numFmtId="2" fontId="11" fillId="8" borderId="14" xfId="0" applyNumberFormat="1" applyFont="1" applyFill="1" applyBorder="1"/>
    <xf numFmtId="43" fontId="11" fillId="8" borderId="14" xfId="1" applyFont="1" applyFill="1" applyBorder="1"/>
    <xf numFmtId="0" fontId="13" fillId="8" borderId="14" xfId="0" applyFont="1" applyFill="1" applyBorder="1"/>
    <xf numFmtId="10" fontId="11" fillId="8" borderId="14" xfId="4" applyNumberFormat="1" applyFont="1" applyFill="1" applyBorder="1"/>
    <xf numFmtId="166" fontId="16" fillId="0" borderId="4" xfId="4" applyNumberFormat="1" applyFont="1" applyFill="1" applyBorder="1" applyAlignment="1">
      <alignment vertical="top"/>
    </xf>
    <xf numFmtId="0" fontId="13" fillId="8" borderId="15" xfId="0" applyFont="1" applyFill="1" applyBorder="1"/>
    <xf numFmtId="0" fontId="11" fillId="8" borderId="13" xfId="0" applyFont="1" applyFill="1" applyBorder="1" applyAlignment="1">
      <alignment horizontal="right"/>
    </xf>
    <xf numFmtId="0" fontId="11" fillId="8" borderId="14" xfId="0" applyFont="1" applyFill="1" applyBorder="1" applyAlignment="1">
      <alignment horizontal="right"/>
    </xf>
    <xf numFmtId="0" fontId="13" fillId="8" borderId="14" xfId="0" applyFont="1" applyFill="1" applyBorder="1" applyAlignment="1">
      <alignment horizontal="center"/>
    </xf>
    <xf numFmtId="41" fontId="13" fillId="8" borderId="15" xfId="0" applyNumberFormat="1" applyFont="1" applyFill="1" applyBorder="1"/>
    <xf numFmtId="0" fontId="14" fillId="8" borderId="13" xfId="0" applyFont="1" applyFill="1" applyBorder="1" applyAlignment="1">
      <alignment horizontal="left" vertical="center" wrapText="1"/>
    </xf>
    <xf numFmtId="0" fontId="14" fillId="8" borderId="14" xfId="0" applyFont="1" applyFill="1" applyBorder="1" applyAlignment="1">
      <alignment horizontal="left" vertical="center" wrapText="1"/>
    </xf>
    <xf numFmtId="0" fontId="14" fillId="8" borderId="15" xfId="0" applyFont="1" applyFill="1" applyBorder="1" applyAlignment="1">
      <alignment horizontal="left" vertical="center" wrapText="1"/>
    </xf>
    <xf numFmtId="0" fontId="14" fillId="8" borderId="13" xfId="0" applyFont="1" applyFill="1" applyBorder="1" applyAlignment="1">
      <alignment horizontal="left" vertical="center" wrapText="1"/>
    </xf>
    <xf numFmtId="0" fontId="14" fillId="8" borderId="14" xfId="0" applyFont="1" applyFill="1" applyBorder="1" applyAlignment="1">
      <alignment horizontal="left" vertical="center" wrapText="1"/>
    </xf>
    <xf numFmtId="0" fontId="14" fillId="8" borderId="14" xfId="0" applyFont="1" applyFill="1" applyBorder="1" applyAlignment="1">
      <alignment horizontal="left" vertical="center"/>
    </xf>
    <xf numFmtId="0" fontId="14" fillId="8" borderId="14" xfId="0" applyFont="1" applyFill="1" applyBorder="1" applyAlignment="1">
      <alignment horizontal="center" vertical="center" wrapText="1"/>
    </xf>
    <xf numFmtId="0" fontId="14" fillId="8" borderId="15" xfId="0" applyFont="1" applyFill="1" applyBorder="1" applyAlignment="1">
      <alignment horizontal="left" vertical="center" wrapText="1"/>
    </xf>
    <xf numFmtId="0" fontId="13" fillId="8" borderId="13" xfId="0" applyFont="1" applyFill="1" applyBorder="1"/>
    <xf numFmtId="0" fontId="13" fillId="0" borderId="0" xfId="0" applyFont="1"/>
    <xf numFmtId="0" fontId="13" fillId="0" borderId="0" xfId="0" applyFont="1" applyAlignment="1">
      <alignment horizontal="center"/>
    </xf>
    <xf numFmtId="41" fontId="13" fillId="0" borderId="0" xfId="0" applyNumberFormat="1" applyFont="1"/>
    <xf numFmtId="41" fontId="13" fillId="0" borderId="0" xfId="2" applyFont="1"/>
    <xf numFmtId="0" fontId="13" fillId="8" borderId="0" xfId="0" applyFont="1" applyFill="1" applyAlignment="1">
      <alignment horizontal="center" wrapText="1"/>
    </xf>
    <xf numFmtId="41" fontId="13" fillId="8" borderId="0" xfId="0" applyNumberFormat="1" applyFont="1" applyFill="1" applyAlignment="1">
      <alignment wrapText="1"/>
    </xf>
    <xf numFmtId="0" fontId="13" fillId="8" borderId="0" xfId="0" applyFont="1" applyFill="1" applyAlignment="1">
      <alignment wrapText="1"/>
    </xf>
    <xf numFmtId="0" fontId="13" fillId="8" borderId="0" xfId="0" applyFont="1" applyFill="1"/>
    <xf numFmtId="41" fontId="13" fillId="8" borderId="0" xfId="0" applyNumberFormat="1" applyFont="1" applyFill="1"/>
    <xf numFmtId="0" fontId="3" fillId="8" borderId="0" xfId="0" applyFont="1" applyFill="1" applyAlignment="1">
      <alignment horizontal="center" wrapText="1"/>
    </xf>
    <xf numFmtId="0" fontId="3" fillId="8" borderId="0" xfId="0" applyFont="1" applyFill="1" applyAlignment="1">
      <alignment wrapText="1"/>
    </xf>
    <xf numFmtId="0" fontId="3" fillId="8" borderId="0" xfId="0" applyFont="1" applyFill="1"/>
    <xf numFmtId="0" fontId="4" fillId="8" borderId="0" xfId="0" applyFont="1" applyFill="1"/>
    <xf numFmtId="0" fontId="3" fillId="8" borderId="0" xfId="0" applyFont="1" applyFill="1" applyAlignment="1">
      <alignment horizontal="center" wrapText="1"/>
    </xf>
    <xf numFmtId="0" fontId="17" fillId="8" borderId="0" xfId="0" applyFont="1" applyFill="1"/>
    <xf numFmtId="3" fontId="17" fillId="8" borderId="0" xfId="0" applyNumberFormat="1" applyFont="1" applyFill="1"/>
    <xf numFmtId="0" fontId="4" fillId="8" borderId="0" xfId="0" applyFont="1" applyFill="1" applyAlignment="1">
      <alignment wrapText="1"/>
    </xf>
    <xf numFmtId="0" fontId="18" fillId="8" borderId="0" xfId="0" applyFont="1" applyFill="1"/>
    <xf numFmtId="0" fontId="4" fillId="8" borderId="0" xfId="0" applyFont="1" applyFill="1" applyAlignment="1">
      <alignment horizontal="center"/>
    </xf>
    <xf numFmtId="0" fontId="3" fillId="8" borderId="0" xfId="0" applyFont="1" applyFill="1" applyAlignment="1">
      <alignment horizontal="center"/>
    </xf>
    <xf numFmtId="3" fontId="4" fillId="8" borderId="0" xfId="0" applyNumberFormat="1" applyFont="1" applyFill="1" applyAlignment="1">
      <alignment wrapText="1"/>
    </xf>
    <xf numFmtId="0" fontId="11" fillId="0" borderId="0" xfId="0" applyFont="1" applyAlignment="1">
      <alignment horizontal="center"/>
    </xf>
    <xf numFmtId="0" fontId="11" fillId="0" borderId="0" xfId="0" applyFont="1" applyAlignment="1">
      <alignment horizontal="center" wrapText="1"/>
    </xf>
    <xf numFmtId="0" fontId="21" fillId="0" borderId="0" xfId="0" applyFont="1"/>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2" fillId="8" borderId="13" xfId="0" applyFont="1" applyFill="1" applyBorder="1" applyAlignment="1">
      <alignment horizontal="center" vertical="center" wrapText="1"/>
    </xf>
    <xf numFmtId="0" fontId="22" fillId="8" borderId="14" xfId="0" applyFont="1" applyFill="1" applyBorder="1" applyAlignment="1">
      <alignment horizontal="center" vertical="center" wrapText="1"/>
    </xf>
    <xf numFmtId="0" fontId="22" fillId="8" borderId="15" xfId="0" applyFont="1" applyFill="1" applyBorder="1" applyAlignment="1">
      <alignment horizontal="center" vertical="center" wrapText="1"/>
    </xf>
    <xf numFmtId="0" fontId="22" fillId="8" borderId="12"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8" borderId="9"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22" fillId="8" borderId="13" xfId="0" applyFont="1" applyFill="1" applyBorder="1" applyAlignment="1">
      <alignment horizontal="center" wrapText="1"/>
    </xf>
    <xf numFmtId="0" fontId="22" fillId="8" borderId="14" xfId="0" applyFont="1" applyFill="1" applyBorder="1" applyAlignment="1">
      <alignment horizontal="center" wrapText="1"/>
    </xf>
    <xf numFmtId="0" fontId="22" fillId="8" borderId="15" xfId="0" applyFont="1" applyFill="1" applyBorder="1" applyAlignment="1">
      <alignment horizontal="center" wrapText="1"/>
    </xf>
    <xf numFmtId="0" fontId="22" fillId="8" borderId="4" xfId="0" applyFont="1" applyFill="1" applyBorder="1" applyAlignment="1">
      <alignment horizontal="center" wrapText="1"/>
    </xf>
    <xf numFmtId="0" fontId="22" fillId="8" borderId="18" xfId="0" applyFont="1" applyFill="1" applyBorder="1" applyAlignment="1">
      <alignment horizontal="center" wrapText="1"/>
    </xf>
    <xf numFmtId="0" fontId="22" fillId="8" borderId="19" xfId="0" applyFont="1" applyFill="1" applyBorder="1" applyAlignment="1">
      <alignment horizontal="center" wrapText="1"/>
    </xf>
    <xf numFmtId="0" fontId="22" fillId="8" borderId="4" xfId="0" applyFont="1" applyFill="1" applyBorder="1" applyAlignment="1">
      <alignment horizontal="center" wrapText="1"/>
    </xf>
    <xf numFmtId="0" fontId="22" fillId="8" borderId="13" xfId="0" applyFont="1" applyFill="1" applyBorder="1" applyAlignment="1">
      <alignment horizontal="center" wrapText="1"/>
    </xf>
    <xf numFmtId="0" fontId="22" fillId="8" borderId="4" xfId="0" applyFont="1" applyFill="1" applyBorder="1" applyAlignment="1">
      <alignment horizontal="center" vertical="center" wrapText="1"/>
    </xf>
    <xf numFmtId="0" fontId="22" fillId="8" borderId="20" xfId="0" applyFont="1" applyFill="1" applyBorder="1" applyAlignment="1">
      <alignment horizontal="left" vertical="top" wrapText="1"/>
    </xf>
    <xf numFmtId="0" fontId="22" fillId="8" borderId="21" xfId="0" applyFont="1" applyFill="1" applyBorder="1" applyAlignment="1">
      <alignment horizontal="left" vertical="top" wrapText="1"/>
    </xf>
    <xf numFmtId="0" fontId="22" fillId="8" borderId="22" xfId="0" applyFont="1" applyFill="1" applyBorder="1" applyAlignment="1">
      <alignment horizontal="left" vertical="top" wrapText="1"/>
    </xf>
    <xf numFmtId="0" fontId="21" fillId="8" borderId="4" xfId="0" applyFont="1" applyFill="1" applyBorder="1"/>
    <xf numFmtId="0" fontId="22" fillId="8" borderId="5" xfId="0" applyFont="1" applyFill="1" applyBorder="1" applyAlignment="1">
      <alignment horizontal="center" vertical="top" wrapText="1"/>
    </xf>
    <xf numFmtId="0" fontId="23" fillId="8" borderId="5" xfId="0" applyFont="1" applyFill="1" applyBorder="1" applyAlignment="1">
      <alignment horizontal="left" vertical="top" wrapText="1"/>
    </xf>
    <xf numFmtId="0" fontId="23" fillId="8" borderId="15" xfId="7" applyFont="1" applyFill="1" applyBorder="1" applyAlignment="1">
      <alignment vertical="top" wrapText="1"/>
    </xf>
    <xf numFmtId="2" fontId="24" fillId="8" borderId="2" xfId="7" applyNumberFormat="1" applyFont="1" applyFill="1" applyBorder="1" applyAlignment="1">
      <alignment horizontal="center" vertical="top" wrapText="1"/>
    </xf>
    <xf numFmtId="0" fontId="12" fillId="0" borderId="2" xfId="7" applyFont="1" applyBorder="1" applyAlignment="1">
      <alignment horizontal="center" vertical="top" wrapText="1"/>
    </xf>
    <xf numFmtId="41" fontId="21" fillId="8" borderId="5" xfId="0" applyNumberFormat="1" applyFont="1" applyFill="1" applyBorder="1" applyAlignment="1">
      <alignment horizontal="right" vertical="top" wrapText="1"/>
    </xf>
    <xf numFmtId="2" fontId="24" fillId="8" borderId="5" xfId="4" quotePrefix="1" applyNumberFormat="1" applyFont="1" applyFill="1" applyBorder="1" applyAlignment="1">
      <alignment horizontal="center" vertical="top" wrapText="1"/>
    </xf>
    <xf numFmtId="164" fontId="24" fillId="8" borderId="5" xfId="3" quotePrefix="1" applyNumberFormat="1" applyFont="1" applyFill="1" applyBorder="1" applyAlignment="1">
      <alignment horizontal="center" vertical="top" wrapText="1"/>
    </xf>
    <xf numFmtId="2" fontId="21" fillId="8" borderId="4" xfId="2" applyNumberFormat="1" applyFont="1" applyFill="1" applyBorder="1" applyAlignment="1">
      <alignment horizontal="center" vertical="top" wrapText="1"/>
    </xf>
    <xf numFmtId="41" fontId="24" fillId="8" borderId="4" xfId="2" applyFont="1" applyFill="1" applyBorder="1" applyAlignment="1">
      <alignment horizontal="right" vertical="top" wrapText="1"/>
    </xf>
    <xf numFmtId="2" fontId="21" fillId="8" borderId="4" xfId="4" applyNumberFormat="1" applyFont="1" applyFill="1" applyBorder="1" applyAlignment="1">
      <alignment horizontal="center" vertical="top" wrapText="1"/>
    </xf>
    <xf numFmtId="164" fontId="21" fillId="8" borderId="4" xfId="0" applyNumberFormat="1" applyFont="1" applyFill="1" applyBorder="1" applyAlignment="1">
      <alignment horizontal="left" vertical="top" wrapText="1"/>
    </xf>
    <xf numFmtId="2" fontId="24" fillId="8" borderId="4" xfId="0" applyNumberFormat="1" applyFont="1" applyFill="1" applyBorder="1" applyAlignment="1">
      <alignment horizontal="center" vertical="top" wrapText="1"/>
    </xf>
    <xf numFmtId="0" fontId="21" fillId="8" borderId="4" xfId="0" applyFont="1" applyFill="1" applyBorder="1" applyAlignment="1">
      <alignment horizontal="center" vertical="top" wrapText="1"/>
    </xf>
    <xf numFmtId="164" fontId="21" fillId="8" borderId="4" xfId="0" applyNumberFormat="1" applyFont="1" applyFill="1" applyBorder="1" applyAlignment="1">
      <alignment vertical="top" wrapText="1"/>
    </xf>
    <xf numFmtId="2" fontId="21" fillId="0" borderId="4" xfId="0" applyNumberFormat="1" applyFont="1" applyBorder="1" applyAlignment="1">
      <alignment vertical="top"/>
    </xf>
    <xf numFmtId="41" fontId="21" fillId="0" borderId="4" xfId="0" applyNumberFormat="1" applyFont="1" applyBorder="1" applyAlignment="1">
      <alignment vertical="top"/>
    </xf>
    <xf numFmtId="2" fontId="24" fillId="8" borderId="23" xfId="0" applyNumberFormat="1" applyFont="1" applyFill="1" applyBorder="1" applyAlignment="1">
      <alignment horizontal="center" vertical="top"/>
    </xf>
    <xf numFmtId="164" fontId="21" fillId="8" borderId="5" xfId="4" applyNumberFormat="1" applyFont="1" applyFill="1" applyBorder="1" applyAlignment="1">
      <alignment horizontal="center" vertical="top" wrapText="1"/>
    </xf>
    <xf numFmtId="2" fontId="24" fillId="8" borderId="23" xfId="0" applyNumberFormat="1" applyFont="1" applyFill="1" applyBorder="1" applyAlignment="1">
      <alignment horizontal="right" vertical="top"/>
    </xf>
    <xf numFmtId="2" fontId="21" fillId="8" borderId="4" xfId="0" applyNumberFormat="1" applyFont="1" applyFill="1" applyBorder="1" applyAlignment="1">
      <alignment horizontal="right" vertical="top" wrapText="1"/>
    </xf>
    <xf numFmtId="1" fontId="24" fillId="8" borderId="12" xfId="0" applyNumberFormat="1" applyFont="1" applyFill="1" applyBorder="1" applyAlignment="1">
      <alignment horizontal="center" vertical="top"/>
    </xf>
    <xf numFmtId="41" fontId="21" fillId="8" borderId="5" xfId="0" applyNumberFormat="1" applyFont="1" applyFill="1" applyBorder="1" applyAlignment="1">
      <alignment vertical="top" wrapText="1"/>
    </xf>
    <xf numFmtId="2" fontId="21" fillId="8" borderId="12" xfId="0" applyNumberFormat="1" applyFont="1" applyFill="1" applyBorder="1" applyAlignment="1">
      <alignment horizontal="center" vertical="top" wrapText="1"/>
    </xf>
    <xf numFmtId="0" fontId="21" fillId="8" borderId="5" xfId="0" applyFont="1" applyFill="1" applyBorder="1" applyAlignment="1">
      <alignment horizontal="center" vertical="top" wrapText="1"/>
    </xf>
    <xf numFmtId="0" fontId="22" fillId="8" borderId="8" xfId="0" applyFont="1" applyFill="1" applyBorder="1" applyAlignment="1">
      <alignment horizontal="center" vertical="top" wrapText="1"/>
    </xf>
    <xf numFmtId="0" fontId="23" fillId="8" borderId="8" xfId="0" applyFont="1" applyFill="1" applyBorder="1" applyAlignment="1">
      <alignment horizontal="left" vertical="top" wrapText="1"/>
    </xf>
    <xf numFmtId="0" fontId="23" fillId="8" borderId="14" xfId="7" applyFont="1" applyFill="1" applyBorder="1" applyAlignment="1">
      <alignment vertical="top" wrapText="1"/>
    </xf>
    <xf numFmtId="2" fontId="24" fillId="8" borderId="1" xfId="7" applyNumberFormat="1" applyFont="1" applyFill="1" applyBorder="1" applyAlignment="1">
      <alignment horizontal="center" vertical="top" wrapText="1"/>
    </xf>
    <xf numFmtId="174" fontId="21" fillId="8" borderId="4" xfId="4" applyNumberFormat="1" applyFont="1" applyFill="1" applyBorder="1" applyAlignment="1">
      <alignment horizontal="center" vertical="top" wrapText="1"/>
    </xf>
    <xf numFmtId="0" fontId="24" fillId="8" borderId="4" xfId="0" applyFont="1" applyFill="1" applyBorder="1" applyAlignment="1">
      <alignment horizontal="center" vertical="top" wrapText="1"/>
    </xf>
    <xf numFmtId="0" fontId="22" fillId="8" borderId="12" xfId="0" applyFont="1" applyFill="1" applyBorder="1" applyAlignment="1">
      <alignment horizontal="center" vertical="top" wrapText="1"/>
    </xf>
    <xf numFmtId="0" fontId="23" fillId="8" borderId="12" xfId="0" applyFont="1" applyFill="1" applyBorder="1" applyAlignment="1">
      <alignment horizontal="left" vertical="top" wrapText="1"/>
    </xf>
    <xf numFmtId="2" fontId="24" fillId="8" borderId="13" xfId="7" applyNumberFormat="1" applyFont="1" applyFill="1" applyBorder="1" applyAlignment="1">
      <alignment horizontal="center" vertical="top" wrapText="1"/>
    </xf>
    <xf numFmtId="0" fontId="21" fillId="8" borderId="13" xfId="0" applyFont="1" applyFill="1" applyBorder="1" applyAlignment="1">
      <alignment vertical="top" wrapText="1"/>
    </xf>
    <xf numFmtId="0" fontId="21" fillId="8" borderId="14" xfId="0" applyFont="1" applyFill="1" applyBorder="1" applyAlignment="1">
      <alignment vertical="top" wrapText="1"/>
    </xf>
    <xf numFmtId="170" fontId="22" fillId="8" borderId="13" xfId="0" applyNumberFormat="1" applyFont="1" applyFill="1" applyBorder="1" applyAlignment="1">
      <alignment horizontal="left" vertical="top" wrapText="1"/>
    </xf>
    <xf numFmtId="0" fontId="12" fillId="0" borderId="15" xfId="7" applyFont="1" applyBorder="1" applyAlignment="1">
      <alignment horizontal="center" vertical="top" wrapText="1"/>
    </xf>
    <xf numFmtId="41" fontId="22" fillId="8" borderId="4" xfId="0" applyNumberFormat="1" applyFont="1" applyFill="1" applyBorder="1" applyAlignment="1">
      <alignment vertical="top" wrapText="1"/>
    </xf>
    <xf numFmtId="170" fontId="22" fillId="8" borderId="4" xfId="0" applyNumberFormat="1" applyFont="1" applyFill="1" applyBorder="1" applyAlignment="1">
      <alignment horizontal="left" vertical="top" wrapText="1"/>
    </xf>
    <xf numFmtId="164" fontId="22" fillId="8" borderId="4" xfId="0" applyNumberFormat="1" applyFont="1" applyFill="1" applyBorder="1" applyAlignment="1">
      <alignment vertical="top" wrapText="1"/>
    </xf>
    <xf numFmtId="41" fontId="22" fillId="8" borderId="4" xfId="0" applyNumberFormat="1" applyFont="1" applyFill="1" applyBorder="1" applyAlignment="1">
      <alignment horizontal="left" vertical="top" wrapText="1"/>
    </xf>
    <xf numFmtId="164" fontId="22" fillId="8" borderId="5" xfId="4" applyNumberFormat="1" applyFont="1" applyFill="1" applyBorder="1" applyAlignment="1">
      <alignment horizontal="center" vertical="top" wrapText="1"/>
    </xf>
    <xf numFmtId="2" fontId="22" fillId="8" borderId="4" xfId="0" applyNumberFormat="1" applyFont="1" applyFill="1" applyBorder="1" applyAlignment="1">
      <alignment horizontal="right" vertical="top" wrapText="1"/>
    </xf>
    <xf numFmtId="9" fontId="21" fillId="8" borderId="4" xfId="0" applyNumberFormat="1" applyFont="1" applyFill="1" applyBorder="1" applyAlignment="1">
      <alignment horizontal="center" vertical="top" wrapText="1"/>
    </xf>
    <xf numFmtId="0" fontId="21" fillId="8" borderId="4" xfId="0" applyFont="1" applyFill="1" applyBorder="1" applyAlignment="1">
      <alignment wrapText="1"/>
    </xf>
    <xf numFmtId="0" fontId="22" fillId="8" borderId="5" xfId="0" applyFont="1" applyFill="1" applyBorder="1" applyAlignment="1">
      <alignment horizontal="left" vertical="top" wrapText="1"/>
    </xf>
    <xf numFmtId="0" fontId="23" fillId="8" borderId="4" xfId="0" applyFont="1" applyFill="1" applyBorder="1" applyAlignment="1">
      <alignment horizontal="left" vertical="top" wrapText="1"/>
    </xf>
    <xf numFmtId="2" fontId="24" fillId="8" borderId="2" xfId="0" applyNumberFormat="1" applyFont="1" applyFill="1" applyBorder="1" applyAlignment="1">
      <alignment horizontal="center" vertical="top" wrapText="1"/>
    </xf>
    <xf numFmtId="3" fontId="21" fillId="8" borderId="4" xfId="4" applyNumberFormat="1" applyFont="1" applyFill="1" applyBorder="1" applyAlignment="1">
      <alignment horizontal="right" vertical="top" wrapText="1"/>
    </xf>
    <xf numFmtId="175" fontId="12" fillId="8" borderId="1" xfId="1" applyNumberFormat="1" applyFont="1" applyFill="1" applyBorder="1" applyAlignment="1">
      <alignment horizontal="center" vertical="top" wrapText="1"/>
    </xf>
    <xf numFmtId="164" fontId="24" fillId="8" borderId="4" xfId="3" applyNumberFormat="1" applyFont="1" applyFill="1" applyBorder="1" applyAlignment="1">
      <alignment horizontal="center" vertical="top" wrapText="1"/>
    </xf>
    <xf numFmtId="170" fontId="12" fillId="8" borderId="4" xfId="0" applyNumberFormat="1" applyFont="1" applyFill="1" applyBorder="1" applyAlignment="1">
      <alignment vertical="top" wrapText="1"/>
    </xf>
    <xf numFmtId="2" fontId="13" fillId="8" borderId="4" xfId="0" applyNumberFormat="1" applyFont="1" applyFill="1" applyBorder="1" applyAlignment="1">
      <alignment vertical="top"/>
    </xf>
    <xf numFmtId="164" fontId="24" fillId="8" borderId="4" xfId="0" applyNumberFormat="1" applyFont="1" applyFill="1" applyBorder="1" applyAlignment="1">
      <alignment horizontal="right" vertical="top" wrapText="1"/>
    </xf>
    <xf numFmtId="170" fontId="13" fillId="0" borderId="4" xfId="0" applyNumberFormat="1" applyFont="1" applyBorder="1" applyAlignment="1">
      <alignment vertical="top"/>
    </xf>
    <xf numFmtId="41" fontId="12" fillId="0" borderId="4" xfId="0" applyNumberFormat="1" applyFont="1" applyBorder="1" applyAlignment="1">
      <alignment vertical="top"/>
    </xf>
    <xf numFmtId="2" fontId="24" fillId="0" borderId="23" xfId="0" applyNumberFormat="1" applyFont="1" applyBorder="1" applyAlignment="1">
      <alignment horizontal="center" vertical="top"/>
    </xf>
    <xf numFmtId="2" fontId="21" fillId="8" borderId="4" xfId="0" applyNumberFormat="1" applyFont="1" applyFill="1" applyBorder="1" applyAlignment="1">
      <alignment horizontal="center" vertical="top" wrapText="1"/>
    </xf>
    <xf numFmtId="0" fontId="22" fillId="8" borderId="12" xfId="0" applyFont="1" applyFill="1" applyBorder="1" applyAlignment="1">
      <alignment horizontal="left" vertical="top" wrapText="1"/>
    </xf>
    <xf numFmtId="2" fontId="12" fillId="8" borderId="1" xfId="1" applyNumberFormat="1" applyFont="1" applyFill="1" applyBorder="1" applyAlignment="1">
      <alignment horizontal="center" vertical="top" wrapText="1"/>
    </xf>
    <xf numFmtId="170" fontId="12" fillId="8" borderId="7" xfId="0" applyNumberFormat="1" applyFont="1" applyFill="1" applyBorder="1" applyAlignment="1">
      <alignment vertical="top" wrapText="1"/>
    </xf>
    <xf numFmtId="0" fontId="22" fillId="8" borderId="1" xfId="0" applyFont="1" applyFill="1" applyBorder="1" applyAlignment="1">
      <alignment vertical="top" wrapText="1"/>
    </xf>
    <xf numFmtId="0" fontId="22" fillId="8" borderId="2" xfId="0" applyFont="1" applyFill="1" applyBorder="1" applyAlignment="1">
      <alignment vertical="top" wrapText="1"/>
    </xf>
    <xf numFmtId="0" fontId="22" fillId="8" borderId="14" xfId="0" applyFont="1" applyFill="1" applyBorder="1" applyAlignment="1">
      <alignment vertical="top" wrapText="1"/>
    </xf>
    <xf numFmtId="3" fontId="22" fillId="8" borderId="4" xfId="0" applyNumberFormat="1" applyFont="1" applyFill="1" applyBorder="1" applyAlignment="1">
      <alignment vertical="top" wrapText="1"/>
    </xf>
    <xf numFmtId="176" fontId="23" fillId="8" borderId="4" xfId="3" applyNumberFormat="1" applyFont="1" applyFill="1" applyBorder="1" applyAlignment="1">
      <alignment horizontal="left" vertical="top" wrapText="1"/>
    </xf>
    <xf numFmtId="164" fontId="23" fillId="8" borderId="4" xfId="3" applyNumberFormat="1" applyFont="1" applyFill="1" applyBorder="1" applyAlignment="1">
      <alignment horizontal="left" vertical="top" wrapText="1"/>
    </xf>
    <xf numFmtId="0" fontId="22" fillId="8" borderId="4" xfId="0" applyFont="1" applyFill="1" applyBorder="1" applyAlignment="1">
      <alignment vertical="top" wrapText="1"/>
    </xf>
    <xf numFmtId="176" fontId="22" fillId="8" borderId="5" xfId="4" applyNumberFormat="1" applyFont="1" applyFill="1" applyBorder="1" applyAlignment="1">
      <alignment horizontal="center" vertical="top" wrapText="1"/>
    </xf>
    <xf numFmtId="41" fontId="22" fillId="8" borderId="5" xfId="0" applyNumberFormat="1" applyFont="1" applyFill="1" applyBorder="1" applyAlignment="1">
      <alignment vertical="top" wrapText="1"/>
    </xf>
    <xf numFmtId="0" fontId="22" fillId="8" borderId="5" xfId="0" quotePrefix="1" applyFont="1" applyFill="1" applyBorder="1" applyAlignment="1">
      <alignment vertical="top" wrapText="1"/>
    </xf>
    <xf numFmtId="0" fontId="22" fillId="8" borderId="5" xfId="0" applyFont="1" applyFill="1" applyBorder="1" applyAlignment="1">
      <alignment vertical="top" wrapText="1"/>
    </xf>
    <xf numFmtId="2" fontId="21" fillId="8" borderId="14" xfId="0" applyNumberFormat="1" applyFont="1" applyFill="1" applyBorder="1" applyAlignment="1">
      <alignment vertical="top" wrapText="1"/>
    </xf>
    <xf numFmtId="41" fontId="21" fillId="8" borderId="4" xfId="0" applyNumberFormat="1" applyFont="1" applyFill="1" applyBorder="1" applyAlignment="1">
      <alignment vertical="top" wrapText="1"/>
    </xf>
    <xf numFmtId="170" fontId="21" fillId="8" borderId="4" xfId="4" quotePrefix="1" applyNumberFormat="1" applyFont="1" applyFill="1" applyBorder="1" applyAlignment="1">
      <alignment horizontal="center" vertical="top" wrapText="1"/>
    </xf>
    <xf numFmtId="41" fontId="21" fillId="8" borderId="4" xfId="4" quotePrefix="1" applyNumberFormat="1" applyFont="1" applyFill="1" applyBorder="1" applyAlignment="1">
      <alignment horizontal="center" vertical="top" wrapText="1"/>
    </xf>
    <xf numFmtId="164" fontId="24" fillId="8" borderId="4" xfId="3" applyNumberFormat="1" applyFont="1" applyFill="1" applyBorder="1" applyAlignment="1">
      <alignment horizontal="left" vertical="top" wrapText="1"/>
    </xf>
    <xf numFmtId="2" fontId="24" fillId="8" borderId="4" xfId="0" applyNumberFormat="1" applyFont="1" applyFill="1" applyBorder="1" applyAlignment="1">
      <alignment horizontal="right" vertical="top"/>
    </xf>
    <xf numFmtId="0" fontId="22" fillId="8" borderId="13" xfId="0" applyFont="1" applyFill="1" applyBorder="1" applyAlignment="1">
      <alignment vertical="top" wrapText="1"/>
    </xf>
    <xf numFmtId="2" fontId="23" fillId="8" borderId="23" xfId="0" applyNumberFormat="1" applyFont="1" applyFill="1" applyBorder="1" applyAlignment="1">
      <alignment horizontal="center" vertical="top"/>
    </xf>
    <xf numFmtId="2" fontId="23" fillId="8" borderId="4" xfId="0" applyNumberFormat="1" applyFont="1" applyFill="1" applyBorder="1" applyAlignment="1">
      <alignment horizontal="right" vertical="top"/>
    </xf>
    <xf numFmtId="2" fontId="23" fillId="8" borderId="5" xfId="0" applyNumberFormat="1" applyFont="1" applyFill="1" applyBorder="1" applyAlignment="1">
      <alignment horizontal="right" vertical="top"/>
    </xf>
    <xf numFmtId="1" fontId="23" fillId="8" borderId="12" xfId="0" applyNumberFormat="1" applyFont="1" applyFill="1" applyBorder="1" applyAlignment="1">
      <alignment horizontal="center" vertical="top"/>
    </xf>
    <xf numFmtId="0" fontId="22" fillId="8" borderId="13" xfId="0" applyFont="1" applyFill="1" applyBorder="1" applyAlignment="1">
      <alignment horizontal="center" vertical="top" wrapText="1"/>
    </xf>
    <xf numFmtId="0" fontId="22" fillId="8" borderId="14" xfId="0" applyFont="1" applyFill="1" applyBorder="1" applyAlignment="1">
      <alignment horizontal="center" vertical="top" wrapText="1"/>
    </xf>
    <xf numFmtId="0" fontId="22" fillId="8" borderId="15" xfId="0" applyFont="1" applyFill="1" applyBorder="1" applyAlignment="1">
      <alignment horizontal="center" vertical="top" wrapText="1"/>
    </xf>
    <xf numFmtId="2" fontId="22" fillId="8" borderId="4" xfId="0" applyNumberFormat="1" applyFont="1" applyFill="1" applyBorder="1" applyAlignment="1">
      <alignment vertical="top" wrapText="1"/>
    </xf>
    <xf numFmtId="9" fontId="24" fillId="8" borderId="4" xfId="0" applyNumberFormat="1" applyFont="1" applyFill="1" applyBorder="1" applyAlignment="1">
      <alignment horizontal="left" vertical="top" wrapText="1"/>
    </xf>
    <xf numFmtId="171" fontId="21" fillId="8" borderId="4" xfId="4" applyNumberFormat="1" applyFont="1" applyFill="1" applyBorder="1" applyAlignment="1">
      <alignment horizontal="center" vertical="top" wrapText="1"/>
    </xf>
    <xf numFmtId="10" fontId="22" fillId="8" borderId="4" xfId="4" applyNumberFormat="1" applyFont="1" applyFill="1" applyBorder="1" applyAlignment="1">
      <alignment horizontal="center" vertical="top" wrapText="1"/>
    </xf>
    <xf numFmtId="170" fontId="23" fillId="8" borderId="4" xfId="0" applyNumberFormat="1" applyFont="1" applyFill="1" applyBorder="1" applyAlignment="1">
      <alignment vertical="top" wrapText="1"/>
    </xf>
    <xf numFmtId="41" fontId="0" fillId="0" borderId="0" xfId="0" applyNumberFormat="1"/>
    <xf numFmtId="41" fontId="0" fillId="0" borderId="0" xfId="2" applyFont="1"/>
    <xf numFmtId="164" fontId="0" fillId="0" borderId="0" xfId="0" applyNumberFormat="1"/>
    <xf numFmtId="176" fontId="0" fillId="0" borderId="0" xfId="0" applyNumberFormat="1"/>
    <xf numFmtId="0" fontId="25" fillId="8" borderId="0" xfId="0" applyFont="1" applyFill="1"/>
  </cellXfs>
  <cellStyles count="9">
    <cellStyle name="Comma" xfId="1" builtinId="3"/>
    <cellStyle name="Comma [0]" xfId="2" builtinId="6"/>
    <cellStyle name="Currency [0]" xfId="3" builtinId="7"/>
    <cellStyle name="Normal" xfId="0" builtinId="0"/>
    <cellStyle name="Normal 103" xfId="5" xr:uid="{05395CA3-EC32-4647-86E5-045A15E6A4A9}"/>
    <cellStyle name="Normal 3 2" xfId="7" xr:uid="{5D437B76-AC9F-4181-A14B-B7B5C875F3BD}"/>
    <cellStyle name="Normal 5" xfId="6" xr:uid="{72DE4328-0ABC-4C6A-B24B-60F814EF3BB6}"/>
    <cellStyle name="Percent" xfId="4" builtinId="5"/>
    <cellStyle name="Percent 3" xfId="8" xr:uid="{E4FE25C1-D67F-4F0F-BF78-B0192B1161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BKPSDM%20TABEL%202.2.EVALUASI%20RKPD%20DAN%20RENJA%202026_14072026.xlsx" TargetMode="External"/><Relationship Id="rId2" Type="http://schemas.openxmlformats.org/officeDocument/2006/relationships/externalLinkPath" Target="file:///C:\Users\LENOVO\Downloads\BKPSDM%20TABEL%202.2.EVALUASI%20RKPD%20DAN%20RENJA%202026_14072026.xlsx" TargetMode="External"/><Relationship Id="rId1" Type="http://schemas.openxmlformats.org/officeDocument/2006/relationships/externalLinkPath" Target="/Users/LENOVO/Downloads/BKPSDM%20TABEL%202.2.EVALUASI%20RKPD%20DAN%20RENJA%202026_1407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nja 2026"/>
      <sheetName val="RKPD"/>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8F28-772B-41FE-95DF-5E3EF4B6F1F6}">
  <dimension ref="A1:AE192"/>
  <sheetViews>
    <sheetView tabSelected="1" topLeftCell="G130" zoomScale="85" zoomScaleNormal="85" workbookViewId="0">
      <selection activeCell="S161" sqref="S161:T162"/>
    </sheetView>
  </sheetViews>
  <sheetFormatPr defaultRowHeight="15" x14ac:dyDescent="0.25"/>
  <cols>
    <col min="2" max="2" width="13.7109375" customWidth="1"/>
    <col min="3" max="3" width="16.140625" customWidth="1"/>
    <col min="6" max="6" width="17" customWidth="1"/>
    <col min="7" max="7" width="14.28515625" customWidth="1"/>
    <col min="8" max="8" width="19.85546875" customWidth="1"/>
    <col min="10" max="10" width="21.140625" customWidth="1"/>
    <col min="12" max="12" width="15.5703125" customWidth="1"/>
    <col min="14" max="14" width="14.5703125" customWidth="1"/>
    <col min="16" max="16" width="14.5703125" customWidth="1"/>
    <col min="18" max="18" width="15.5703125" customWidth="1"/>
    <col min="20" max="20" width="15" customWidth="1"/>
    <col min="24" max="24" width="18" customWidth="1"/>
    <col min="28" max="28" width="22.42578125" customWidth="1"/>
    <col min="31" max="31" width="14.5703125" customWidth="1"/>
  </cols>
  <sheetData>
    <row r="1" spans="1:31" ht="15.75" x14ac:dyDescent="0.25">
      <c r="A1" s="1"/>
      <c r="B1" s="1"/>
      <c r="C1" s="1"/>
      <c r="D1" s="1"/>
      <c r="E1" s="2" t="s">
        <v>0</v>
      </c>
      <c r="F1" s="2"/>
      <c r="G1" s="2"/>
      <c r="H1" s="2"/>
      <c r="I1" s="2"/>
      <c r="J1" s="2"/>
      <c r="K1" s="2"/>
      <c r="L1" s="2"/>
      <c r="M1" s="2"/>
      <c r="N1" s="2"/>
      <c r="O1" s="2"/>
      <c r="P1" s="2"/>
      <c r="Q1" s="2"/>
      <c r="R1" s="2"/>
      <c r="S1" s="2"/>
      <c r="T1" s="2"/>
      <c r="U1" s="2"/>
      <c r="V1" s="2"/>
      <c r="W1" s="2"/>
      <c r="X1" s="2"/>
      <c r="Y1" s="2"/>
      <c r="Z1" s="2"/>
      <c r="AA1" s="2"/>
      <c r="AB1" s="2"/>
      <c r="AC1" s="2"/>
      <c r="AD1" s="2"/>
      <c r="AE1" s="2"/>
    </row>
    <row r="2" spans="1:31" ht="15.75" x14ac:dyDescent="0.25">
      <c r="A2" s="3"/>
      <c r="B2" s="3"/>
      <c r="C2" s="3"/>
      <c r="D2" s="3"/>
      <c r="E2" s="4" t="s">
        <v>1</v>
      </c>
      <c r="F2" s="4"/>
      <c r="G2" s="4"/>
      <c r="H2" s="4"/>
      <c r="I2" s="4"/>
      <c r="J2" s="4"/>
      <c r="K2" s="4"/>
      <c r="L2" s="4"/>
      <c r="M2" s="4"/>
      <c r="N2" s="4"/>
      <c r="O2" s="4"/>
      <c r="P2" s="4"/>
      <c r="Q2" s="4"/>
      <c r="R2" s="4"/>
      <c r="S2" s="4"/>
      <c r="T2" s="4"/>
      <c r="U2" s="4"/>
      <c r="V2" s="4"/>
      <c r="W2" s="4"/>
      <c r="X2" s="4"/>
      <c r="Y2" s="4"/>
      <c r="Z2" s="4"/>
      <c r="AA2" s="4"/>
      <c r="AB2" s="4"/>
      <c r="AC2" s="4"/>
      <c r="AD2" s="4"/>
      <c r="AE2" s="4"/>
    </row>
    <row r="3" spans="1:31" ht="15.75" x14ac:dyDescent="0.25">
      <c r="A3" s="1"/>
      <c r="B3" s="1"/>
      <c r="C3" s="1"/>
      <c r="D3" s="1"/>
      <c r="E3" s="1"/>
      <c r="F3" s="1"/>
      <c r="G3" s="1"/>
      <c r="H3" s="5"/>
      <c r="I3" s="1"/>
      <c r="J3" s="1"/>
      <c r="K3" s="1"/>
      <c r="L3" s="1"/>
      <c r="M3" s="1"/>
      <c r="N3" s="1"/>
      <c r="O3" s="1"/>
      <c r="P3" s="1"/>
      <c r="Q3" s="1"/>
      <c r="R3" s="1"/>
      <c r="S3" s="1"/>
      <c r="T3" s="1"/>
      <c r="U3" s="1"/>
      <c r="V3" s="1"/>
      <c r="W3" s="1"/>
      <c r="X3" s="1"/>
      <c r="Y3" s="5"/>
      <c r="Z3" s="1"/>
      <c r="AA3" s="1"/>
      <c r="AB3" s="1"/>
      <c r="AC3" s="1"/>
      <c r="AD3" s="1"/>
      <c r="AE3" s="1"/>
    </row>
    <row r="4" spans="1:31" ht="15.75" x14ac:dyDescent="0.25">
      <c r="A4" s="6" t="s">
        <v>2</v>
      </c>
      <c r="B4" s="1"/>
      <c r="C4" s="1"/>
      <c r="D4" s="1"/>
      <c r="E4" s="7"/>
      <c r="F4" s="8"/>
      <c r="G4" s="8"/>
      <c r="H4" s="9"/>
      <c r="I4" s="8"/>
      <c r="J4" s="8"/>
      <c r="K4" s="8"/>
      <c r="L4" s="8"/>
      <c r="M4" s="1"/>
      <c r="N4" s="1"/>
      <c r="O4" s="1"/>
      <c r="P4" s="1"/>
      <c r="Q4" s="1"/>
      <c r="R4" s="1"/>
      <c r="S4" s="1"/>
      <c r="T4" s="1"/>
      <c r="U4" s="1"/>
      <c r="V4" s="1"/>
      <c r="W4" s="1"/>
      <c r="X4" s="1"/>
      <c r="Y4" s="5"/>
      <c r="Z4" s="1"/>
      <c r="AA4" s="1"/>
      <c r="AB4" s="1"/>
      <c r="AC4" s="1"/>
      <c r="AD4" s="1"/>
      <c r="AE4" s="1"/>
    </row>
    <row r="5" spans="1:31" ht="15.75" x14ac:dyDescent="0.25">
      <c r="A5" s="7" t="s">
        <v>3</v>
      </c>
      <c r="B5" s="1"/>
      <c r="C5" s="1"/>
      <c r="D5" s="1"/>
      <c r="E5" s="7"/>
      <c r="F5" s="8"/>
      <c r="G5" s="8"/>
      <c r="H5" s="9"/>
      <c r="I5" s="8"/>
      <c r="J5" s="8"/>
      <c r="K5" s="8"/>
      <c r="L5" s="8"/>
      <c r="M5" s="1"/>
      <c r="N5" s="1"/>
      <c r="O5" s="1"/>
      <c r="P5" s="1"/>
      <c r="Q5" s="1"/>
      <c r="R5" s="1"/>
      <c r="S5" s="1"/>
      <c r="T5" s="1"/>
      <c r="U5" s="1"/>
      <c r="V5" s="1"/>
      <c r="W5" s="1"/>
      <c r="X5" s="1"/>
      <c r="Y5" s="5"/>
      <c r="Z5" s="1"/>
      <c r="AA5" s="1"/>
      <c r="AB5" s="1"/>
      <c r="AC5" s="1"/>
      <c r="AD5" s="1"/>
      <c r="AE5" s="1"/>
    </row>
    <row r="6" spans="1:31" ht="15.75" x14ac:dyDescent="0.25">
      <c r="A6" s="7" t="s">
        <v>4</v>
      </c>
      <c r="B6" s="1"/>
      <c r="C6" s="1"/>
      <c r="D6" s="1"/>
      <c r="E6" s="7"/>
      <c r="F6" s="8"/>
      <c r="G6" s="8"/>
      <c r="H6" s="9"/>
      <c r="I6" s="8"/>
      <c r="J6" s="8"/>
      <c r="K6" s="8"/>
      <c r="L6" s="8"/>
      <c r="M6" s="1"/>
      <c r="N6" s="1"/>
      <c r="O6" s="1"/>
      <c r="P6" s="1"/>
      <c r="Q6" s="1"/>
      <c r="R6" s="1"/>
      <c r="S6" s="1"/>
      <c r="T6" s="1"/>
      <c r="U6" s="1"/>
      <c r="V6" s="1"/>
      <c r="W6" s="1"/>
      <c r="X6" s="1"/>
      <c r="Y6" s="5"/>
      <c r="Z6" s="1"/>
      <c r="AA6" s="1"/>
      <c r="AB6" s="1"/>
      <c r="AC6" s="1"/>
      <c r="AD6" s="1"/>
      <c r="AE6" s="1"/>
    </row>
    <row r="7" spans="1:31" ht="15.75" x14ac:dyDescent="0.25">
      <c r="A7" s="7" t="s">
        <v>5</v>
      </c>
      <c r="B7" s="1"/>
      <c r="C7" s="1"/>
      <c r="D7" s="1"/>
      <c r="E7" s="7"/>
      <c r="F7" s="8"/>
      <c r="G7" s="8"/>
      <c r="H7" s="9"/>
      <c r="I7" s="8"/>
      <c r="J7" s="8"/>
      <c r="K7" s="8"/>
      <c r="L7" s="8"/>
      <c r="M7" s="1"/>
      <c r="N7" s="1"/>
      <c r="O7" s="1"/>
      <c r="P7" s="1"/>
      <c r="Q7" s="1"/>
      <c r="R7" s="1"/>
      <c r="S7" s="1"/>
      <c r="T7" s="1"/>
      <c r="U7" s="1"/>
      <c r="V7" s="1"/>
      <c r="W7" s="1"/>
      <c r="X7" s="1"/>
      <c r="Y7" s="5"/>
      <c r="Z7" s="1"/>
      <c r="AA7" s="1"/>
      <c r="AB7" s="1"/>
      <c r="AC7" s="1"/>
      <c r="AD7" s="1"/>
      <c r="AE7" s="1"/>
    </row>
    <row r="8" spans="1:31" ht="15.75" x14ac:dyDescent="0.25">
      <c r="A8" s="7" t="s">
        <v>6</v>
      </c>
      <c r="B8" s="1"/>
      <c r="C8" s="1"/>
      <c r="D8" s="1"/>
      <c r="E8" s="7"/>
      <c r="F8" s="8"/>
      <c r="G8" s="8"/>
      <c r="H8" s="9"/>
      <c r="I8" s="8"/>
      <c r="J8" s="8"/>
      <c r="K8" s="8"/>
      <c r="L8" s="8"/>
      <c r="M8" s="1"/>
      <c r="N8" s="1"/>
      <c r="O8" s="1"/>
      <c r="P8" s="1"/>
      <c r="Q8" s="1"/>
      <c r="R8" s="1"/>
      <c r="S8" s="1"/>
      <c r="T8" s="1"/>
      <c r="U8" s="1"/>
      <c r="V8" s="1"/>
      <c r="W8" s="1"/>
      <c r="X8" s="1"/>
      <c r="Y8" s="5"/>
      <c r="Z8" s="1"/>
      <c r="AA8" s="1"/>
      <c r="AB8" s="1"/>
      <c r="AC8" s="1"/>
      <c r="AD8" s="1"/>
      <c r="AE8" s="1"/>
    </row>
    <row r="9" spans="1:31" ht="15.75" x14ac:dyDescent="0.25">
      <c r="A9" s="7" t="s">
        <v>7</v>
      </c>
      <c r="B9" s="1"/>
      <c r="C9" s="1"/>
      <c r="D9" s="1"/>
      <c r="E9" s="7"/>
      <c r="F9" s="8"/>
      <c r="G9" s="8"/>
      <c r="H9" s="9"/>
      <c r="I9" s="8"/>
      <c r="J9" s="8"/>
      <c r="K9" s="8"/>
      <c r="L9" s="8"/>
      <c r="M9" s="1"/>
      <c r="N9" s="1"/>
      <c r="O9" s="1"/>
      <c r="P9" s="1"/>
      <c r="Q9" s="1"/>
      <c r="R9" s="1"/>
      <c r="S9" s="1"/>
      <c r="T9" s="1"/>
      <c r="U9" s="1"/>
      <c r="V9" s="1"/>
      <c r="W9" s="1"/>
      <c r="X9" s="1"/>
      <c r="Y9" s="5"/>
      <c r="Z9" s="1"/>
      <c r="AA9" s="1"/>
      <c r="AB9" s="1"/>
      <c r="AC9" s="1"/>
      <c r="AD9" s="1"/>
      <c r="AE9" s="1"/>
    </row>
    <row r="10" spans="1:31" ht="15.75" x14ac:dyDescent="0.25">
      <c r="A10" s="7" t="s">
        <v>8</v>
      </c>
      <c r="B10" s="1"/>
      <c r="C10" s="1"/>
      <c r="D10" s="1"/>
      <c r="E10" s="7"/>
      <c r="F10" s="8"/>
      <c r="G10" s="8"/>
      <c r="H10" s="9"/>
      <c r="I10" s="8"/>
      <c r="J10" s="8"/>
      <c r="K10" s="8"/>
      <c r="L10" s="8"/>
      <c r="M10" s="1"/>
      <c r="N10" s="1"/>
      <c r="O10" s="1"/>
      <c r="P10" s="10"/>
      <c r="Q10" s="1"/>
      <c r="R10" s="1"/>
      <c r="S10" s="1"/>
      <c r="T10" s="1"/>
      <c r="U10" s="1"/>
      <c r="V10" s="1"/>
      <c r="W10" s="1"/>
      <c r="X10" s="1"/>
      <c r="Y10" s="5"/>
      <c r="Z10" s="1"/>
      <c r="AA10" s="1"/>
      <c r="AB10" s="1"/>
      <c r="AC10" s="1"/>
      <c r="AD10" s="1"/>
      <c r="AE10" s="1"/>
    </row>
    <row r="11" spans="1:31" ht="15.75" x14ac:dyDescent="0.25">
      <c r="A11" s="7" t="s">
        <v>9</v>
      </c>
      <c r="B11" s="1"/>
      <c r="C11" s="1"/>
      <c r="D11" s="1"/>
      <c r="E11" s="7"/>
      <c r="F11" s="8"/>
      <c r="G11" s="8"/>
      <c r="H11" s="9"/>
      <c r="I11" s="8"/>
      <c r="J11" s="8"/>
      <c r="K11" s="8"/>
      <c r="L11" s="8"/>
      <c r="M11" s="1"/>
      <c r="N11" s="1"/>
      <c r="O11" s="1"/>
      <c r="P11" s="1"/>
      <c r="Q11" s="1"/>
      <c r="R11" s="1"/>
      <c r="S11" s="1"/>
      <c r="T11" s="1"/>
      <c r="U11" s="1"/>
      <c r="V11" s="1"/>
      <c r="W11" s="1"/>
      <c r="X11" s="1"/>
      <c r="Y11" s="5"/>
      <c r="Z11" s="1"/>
      <c r="AA11" s="1"/>
      <c r="AB11" s="1"/>
      <c r="AC11" s="1"/>
      <c r="AD11" s="1"/>
      <c r="AE11" s="1"/>
    </row>
    <row r="12" spans="1:31" ht="15.75" x14ac:dyDescent="0.25">
      <c r="A12" s="11"/>
      <c r="B12" s="11"/>
      <c r="C12" s="11"/>
      <c r="D12" s="11"/>
      <c r="E12" s="12"/>
      <c r="F12" s="13"/>
      <c r="G12" s="13"/>
      <c r="H12" s="14"/>
      <c r="I12" s="13"/>
      <c r="J12" s="13"/>
      <c r="K12" s="13"/>
      <c r="L12" s="13"/>
      <c r="M12" s="11"/>
      <c r="N12" s="11"/>
      <c r="O12" s="11"/>
      <c r="P12" s="11"/>
      <c r="Q12" s="11"/>
      <c r="R12" s="11"/>
      <c r="S12" s="11"/>
      <c r="T12" s="11"/>
      <c r="U12" s="11"/>
      <c r="V12" s="11"/>
      <c r="W12" s="11"/>
      <c r="X12" s="11"/>
      <c r="Y12" s="15"/>
      <c r="Z12" s="11"/>
      <c r="AA12" s="11"/>
      <c r="AB12" s="11"/>
      <c r="AC12" s="11"/>
      <c r="AD12" s="11"/>
      <c r="AE12" s="11"/>
    </row>
    <row r="13" spans="1:31" ht="15.75" x14ac:dyDescent="0.25">
      <c r="A13" s="16" t="s">
        <v>10</v>
      </c>
      <c r="B13" s="17"/>
      <c r="C13" s="17"/>
      <c r="D13" s="17"/>
      <c r="E13" s="18"/>
      <c r="F13" s="19" t="s">
        <v>11</v>
      </c>
      <c r="G13" s="20" t="s">
        <v>12</v>
      </c>
      <c r="H13" s="20" t="s">
        <v>13</v>
      </c>
      <c r="I13" s="19" t="s">
        <v>14</v>
      </c>
      <c r="J13" s="19"/>
      <c r="K13" s="19" t="s">
        <v>15</v>
      </c>
      <c r="L13" s="19"/>
      <c r="M13" s="19" t="s">
        <v>16</v>
      </c>
      <c r="N13" s="19"/>
      <c r="O13" s="19" t="s">
        <v>17</v>
      </c>
      <c r="P13" s="19"/>
      <c r="Q13" s="19"/>
      <c r="R13" s="19"/>
      <c r="S13" s="19"/>
      <c r="T13" s="19"/>
      <c r="U13" s="19"/>
      <c r="V13" s="19"/>
      <c r="W13" s="21" t="s">
        <v>18</v>
      </c>
      <c r="X13" s="21"/>
      <c r="Y13" s="22" t="s">
        <v>19</v>
      </c>
      <c r="Z13" s="22"/>
      <c r="AA13" s="21" t="s">
        <v>20</v>
      </c>
      <c r="AB13" s="21"/>
      <c r="AC13" s="22" t="s">
        <v>21</v>
      </c>
      <c r="AD13" s="22"/>
      <c r="AE13" s="19" t="s">
        <v>22</v>
      </c>
    </row>
    <row r="14" spans="1:31" ht="15.75" x14ac:dyDescent="0.25">
      <c r="A14" s="23"/>
      <c r="B14" s="24"/>
      <c r="C14" s="24"/>
      <c r="D14" s="24"/>
      <c r="E14" s="25"/>
      <c r="F14" s="19"/>
      <c r="G14" s="26"/>
      <c r="H14" s="26"/>
      <c r="I14" s="19"/>
      <c r="J14" s="19"/>
      <c r="K14" s="19"/>
      <c r="L14" s="19"/>
      <c r="M14" s="19"/>
      <c r="N14" s="19"/>
      <c r="O14" s="21" t="s">
        <v>23</v>
      </c>
      <c r="P14" s="21"/>
      <c r="Q14" s="27" t="s">
        <v>24</v>
      </c>
      <c r="R14" s="27"/>
      <c r="S14" s="27" t="s">
        <v>25</v>
      </c>
      <c r="T14" s="27"/>
      <c r="U14" s="27" t="s">
        <v>26</v>
      </c>
      <c r="V14" s="27"/>
      <c r="W14" s="21"/>
      <c r="X14" s="21"/>
      <c r="Y14" s="22"/>
      <c r="Z14" s="22"/>
      <c r="AA14" s="21"/>
      <c r="AB14" s="21"/>
      <c r="AC14" s="22"/>
      <c r="AD14" s="22"/>
      <c r="AE14" s="19"/>
    </row>
    <row r="15" spans="1:31" ht="15.75" x14ac:dyDescent="0.25">
      <c r="A15" s="28"/>
      <c r="B15" s="29"/>
      <c r="C15" s="29"/>
      <c r="D15" s="29"/>
      <c r="E15" s="30"/>
      <c r="F15" s="19"/>
      <c r="G15" s="31"/>
      <c r="H15" s="31"/>
      <c r="I15" s="32" t="s">
        <v>27</v>
      </c>
      <c r="J15" s="33" t="s">
        <v>28</v>
      </c>
      <c r="K15" s="34" t="s">
        <v>27</v>
      </c>
      <c r="L15" s="35" t="s">
        <v>28</v>
      </c>
      <c r="M15" s="36" t="s">
        <v>27</v>
      </c>
      <c r="N15" s="33" t="s">
        <v>28</v>
      </c>
      <c r="O15" s="37" t="s">
        <v>27</v>
      </c>
      <c r="P15" s="38" t="s">
        <v>28</v>
      </c>
      <c r="Q15" s="37" t="s">
        <v>27</v>
      </c>
      <c r="R15" s="33" t="s">
        <v>28</v>
      </c>
      <c r="S15" s="37" t="s">
        <v>27</v>
      </c>
      <c r="T15" s="33" t="s">
        <v>28</v>
      </c>
      <c r="U15" s="37" t="s">
        <v>27</v>
      </c>
      <c r="V15" s="33" t="s">
        <v>28</v>
      </c>
      <c r="W15" s="37" t="s">
        <v>27</v>
      </c>
      <c r="X15" s="38" t="s">
        <v>28</v>
      </c>
      <c r="Y15" s="39" t="s">
        <v>27</v>
      </c>
      <c r="Z15" s="40" t="s">
        <v>28</v>
      </c>
      <c r="AA15" s="37" t="s">
        <v>27</v>
      </c>
      <c r="AB15" s="38" t="s">
        <v>28</v>
      </c>
      <c r="AC15" s="39" t="s">
        <v>27</v>
      </c>
      <c r="AD15" s="40" t="s">
        <v>28</v>
      </c>
      <c r="AE15" s="19"/>
    </row>
    <row r="16" spans="1:31" ht="15.75" x14ac:dyDescent="0.25">
      <c r="A16" s="41">
        <v>1</v>
      </c>
      <c r="B16" s="42"/>
      <c r="C16" s="42"/>
      <c r="D16" s="42"/>
      <c r="E16" s="43"/>
      <c r="F16" s="44">
        <v>2</v>
      </c>
      <c r="G16" s="41">
        <v>3</v>
      </c>
      <c r="H16" s="43"/>
      <c r="I16" s="19">
        <v>4</v>
      </c>
      <c r="J16" s="19"/>
      <c r="K16" s="19">
        <v>5</v>
      </c>
      <c r="L16" s="19"/>
      <c r="M16" s="19">
        <v>6</v>
      </c>
      <c r="N16" s="19"/>
      <c r="O16" s="19">
        <v>7</v>
      </c>
      <c r="P16" s="19"/>
      <c r="Q16" s="19">
        <v>8</v>
      </c>
      <c r="R16" s="19"/>
      <c r="S16" s="19">
        <v>9</v>
      </c>
      <c r="T16" s="19"/>
      <c r="U16" s="19">
        <v>10</v>
      </c>
      <c r="V16" s="19"/>
      <c r="W16" s="21" t="s">
        <v>29</v>
      </c>
      <c r="X16" s="21"/>
      <c r="Y16" s="22" t="s">
        <v>30</v>
      </c>
      <c r="Z16" s="22"/>
      <c r="AA16" s="21" t="s">
        <v>31</v>
      </c>
      <c r="AB16" s="21"/>
      <c r="AC16" s="22" t="s">
        <v>32</v>
      </c>
      <c r="AD16" s="22"/>
      <c r="AE16" s="44">
        <v>15</v>
      </c>
    </row>
    <row r="17" spans="1:31" ht="15.75" x14ac:dyDescent="0.25">
      <c r="A17" s="45">
        <v>5</v>
      </c>
      <c r="B17" s="46"/>
      <c r="C17" s="47"/>
      <c r="D17" s="47"/>
      <c r="E17" s="48"/>
      <c r="F17" s="49" t="s">
        <v>33</v>
      </c>
      <c r="G17" s="50"/>
      <c r="H17" s="50"/>
      <c r="I17" s="50"/>
      <c r="J17" s="50"/>
      <c r="K17" s="50"/>
      <c r="L17" s="50"/>
      <c r="M17" s="50"/>
      <c r="N17" s="50"/>
      <c r="O17" s="50"/>
      <c r="P17" s="50"/>
      <c r="Q17" s="50"/>
      <c r="R17" s="50"/>
      <c r="S17" s="50"/>
      <c r="T17" s="50"/>
      <c r="U17" s="50"/>
      <c r="V17" s="50"/>
      <c r="W17" s="50"/>
      <c r="X17" s="50"/>
      <c r="Y17" s="50"/>
      <c r="Z17" s="50"/>
      <c r="AA17" s="50"/>
      <c r="AB17" s="50"/>
      <c r="AC17" s="50"/>
      <c r="AD17" s="50"/>
      <c r="AE17" s="51"/>
    </row>
    <row r="18" spans="1:31" ht="15.75" x14ac:dyDescent="0.25">
      <c r="A18" s="52">
        <v>5</v>
      </c>
      <c r="B18" s="53" t="s">
        <v>34</v>
      </c>
      <c r="C18" s="54"/>
      <c r="D18" s="54"/>
      <c r="E18" s="55"/>
      <c r="F18" s="56" t="s">
        <v>35</v>
      </c>
      <c r="G18" s="57"/>
      <c r="H18" s="57"/>
      <c r="I18" s="57"/>
      <c r="J18" s="57"/>
      <c r="K18" s="57"/>
      <c r="L18" s="57"/>
      <c r="M18" s="57"/>
      <c r="N18" s="57"/>
      <c r="O18" s="57"/>
      <c r="P18" s="57"/>
      <c r="Q18" s="57"/>
      <c r="R18" s="57"/>
      <c r="S18" s="57"/>
      <c r="T18" s="57"/>
      <c r="U18" s="57"/>
      <c r="V18" s="57"/>
      <c r="W18" s="57"/>
      <c r="X18" s="57"/>
      <c r="Y18" s="57"/>
      <c r="Z18" s="57"/>
      <c r="AA18" s="57"/>
      <c r="AB18" s="57"/>
      <c r="AC18" s="57"/>
      <c r="AD18" s="57"/>
      <c r="AE18" s="58"/>
    </row>
    <row r="19" spans="1:31" ht="173.25" x14ac:dyDescent="0.25">
      <c r="A19" s="59">
        <v>5</v>
      </c>
      <c r="B19" s="60" t="s">
        <v>34</v>
      </c>
      <c r="C19" s="60" t="s">
        <v>36</v>
      </c>
      <c r="D19" s="61"/>
      <c r="E19" s="61"/>
      <c r="F19" s="62" t="s">
        <v>37</v>
      </c>
      <c r="G19" s="63" t="s">
        <v>38</v>
      </c>
      <c r="H19" s="64" t="s">
        <v>39</v>
      </c>
      <c r="I19" s="65">
        <v>48</v>
      </c>
      <c r="J19" s="66">
        <f>J20+J28+J31+J33+J36+J44+J50+J54</f>
        <v>13328425500</v>
      </c>
      <c r="K19" s="65">
        <v>47</v>
      </c>
      <c r="L19" s="66">
        <f>L20+L28+L31+L33+L36+L44+L50+L54</f>
        <v>8599560827</v>
      </c>
      <c r="M19" s="67">
        <v>47.25</v>
      </c>
      <c r="N19" s="66">
        <f>N20+N28+N31+N33+N36+N44+N50+N54</f>
        <v>7263549243</v>
      </c>
      <c r="O19" s="67">
        <v>0</v>
      </c>
      <c r="P19" s="66">
        <f>P20+P28+P31+P33+P36+P44+P50+P54</f>
        <v>1849143365</v>
      </c>
      <c r="Q19" s="67">
        <v>0</v>
      </c>
      <c r="R19" s="66">
        <f>R20+R28+R31+R33+R36+R44+R50+R54</f>
        <v>1637735845</v>
      </c>
      <c r="S19" s="68"/>
      <c r="T19" s="66"/>
      <c r="U19" s="67"/>
      <c r="V19" s="66"/>
      <c r="W19" s="67">
        <f>O19+Q19+S19+U19</f>
        <v>0</v>
      </c>
      <c r="X19" s="66">
        <f>P19+R19+T19+V19</f>
        <v>3486879210</v>
      </c>
      <c r="Y19" s="69">
        <f>W19/M19*100%</f>
        <v>0</v>
      </c>
      <c r="Z19" s="69">
        <f>X19/N19</f>
        <v>0.48005170658963481</v>
      </c>
      <c r="AA19" s="70">
        <f>K19+W19</f>
        <v>47</v>
      </c>
      <c r="AB19" s="71">
        <f>L19+X19</f>
        <v>12086440037</v>
      </c>
      <c r="AC19" s="69">
        <f>(AA19/I19)*100%</f>
        <v>0.97916666666666663</v>
      </c>
      <c r="AD19" s="69">
        <f>(AB19/J19)*100%</f>
        <v>0.90681679070044696</v>
      </c>
      <c r="AE19" s="72"/>
    </row>
    <row r="20" spans="1:31" ht="252" x14ac:dyDescent="0.25">
      <c r="A20" s="73">
        <v>5</v>
      </c>
      <c r="B20" s="74" t="s">
        <v>34</v>
      </c>
      <c r="C20" s="73" t="s">
        <v>36</v>
      </c>
      <c r="D20" s="73" t="s">
        <v>40</v>
      </c>
      <c r="E20" s="73"/>
      <c r="F20" s="75" t="s">
        <v>41</v>
      </c>
      <c r="G20" s="75" t="s">
        <v>42</v>
      </c>
      <c r="H20" s="76" t="s">
        <v>43</v>
      </c>
      <c r="I20" s="77">
        <v>100</v>
      </c>
      <c r="J20" s="78">
        <f>SUM(J21:J27)</f>
        <v>124100000</v>
      </c>
      <c r="K20" s="77">
        <v>0</v>
      </c>
      <c r="L20" s="79">
        <f>SUM(L21:L27)</f>
        <v>52687745</v>
      </c>
      <c r="M20" s="80">
        <v>100</v>
      </c>
      <c r="N20" s="78">
        <f>SUM(N21:N27)</f>
        <v>12173780</v>
      </c>
      <c r="O20" s="77">
        <f>(4/21)*100</f>
        <v>19.047619047619047</v>
      </c>
      <c r="P20" s="78">
        <f>SUM(P21:P27)</f>
        <v>3098790</v>
      </c>
      <c r="Q20" s="77">
        <f>(4/21)*100</f>
        <v>19.047619047619047</v>
      </c>
      <c r="R20" s="79">
        <f>SUM(R21:R27)</f>
        <v>1931590</v>
      </c>
      <c r="S20" s="77">
        <v>0</v>
      </c>
      <c r="T20" s="79">
        <f>SUM(T21:T27)</f>
        <v>0</v>
      </c>
      <c r="U20" s="77">
        <v>0</v>
      </c>
      <c r="V20" s="79">
        <f>SUM(V21:V27)</f>
        <v>0</v>
      </c>
      <c r="W20" s="81">
        <f>O20+Q20+S20+U20</f>
        <v>38.095238095238095</v>
      </c>
      <c r="X20" s="79">
        <f>SUM(X21:X27)</f>
        <v>5030380</v>
      </c>
      <c r="Y20" s="82">
        <f t="shared" ref="Y20:Y25" si="0">W20/M20*100%</f>
        <v>0.38095238095238093</v>
      </c>
      <c r="Z20" s="83">
        <f>X20/N20*100%</f>
        <v>0.41321430155629557</v>
      </c>
      <c r="AA20" s="84">
        <f t="shared" ref="AA20:AB28" si="1">K20+W20</f>
        <v>38.095238095238095</v>
      </c>
      <c r="AB20" s="85">
        <f t="shared" si="1"/>
        <v>57718125</v>
      </c>
      <c r="AC20" s="82">
        <f>(AA20/I20)*100%</f>
        <v>0.38095238095238093</v>
      </c>
      <c r="AD20" s="82">
        <f>(AB20/J20)*100%</f>
        <v>0.46509367445608379</v>
      </c>
      <c r="AE20" s="86"/>
    </row>
    <row r="21" spans="1:31" ht="141.75" x14ac:dyDescent="0.25">
      <c r="A21" s="87">
        <v>5</v>
      </c>
      <c r="B21" s="88" t="s">
        <v>34</v>
      </c>
      <c r="C21" s="87" t="s">
        <v>36</v>
      </c>
      <c r="D21" s="87" t="s">
        <v>40</v>
      </c>
      <c r="E21" s="89" t="s">
        <v>36</v>
      </c>
      <c r="F21" s="90" t="s">
        <v>44</v>
      </c>
      <c r="G21" s="91" t="s">
        <v>45</v>
      </c>
      <c r="H21" s="92" t="s">
        <v>46</v>
      </c>
      <c r="I21" s="93">
        <v>4</v>
      </c>
      <c r="J21" s="94">
        <v>23000000</v>
      </c>
      <c r="K21" s="93">
        <v>7</v>
      </c>
      <c r="L21" s="95">
        <v>13413285</v>
      </c>
      <c r="M21" s="93">
        <v>5</v>
      </c>
      <c r="N21" s="95">
        <v>3123225</v>
      </c>
      <c r="O21" s="96">
        <v>1</v>
      </c>
      <c r="P21" s="96">
        <v>978645</v>
      </c>
      <c r="Q21" s="97">
        <v>2</v>
      </c>
      <c r="R21" s="98">
        <v>536145</v>
      </c>
      <c r="S21" s="97"/>
      <c r="T21" s="96"/>
      <c r="U21" s="97"/>
      <c r="V21" s="96"/>
      <c r="W21" s="99">
        <f t="shared" ref="W21:X35" si="2">O21+Q21+S21+U21</f>
        <v>3</v>
      </c>
      <c r="X21" s="100">
        <f t="shared" si="2"/>
        <v>1514790</v>
      </c>
      <c r="Y21" s="101">
        <f>W21/M21*100%</f>
        <v>0.6</v>
      </c>
      <c r="Z21" s="102">
        <f>X21/N21*100%</f>
        <v>0.48500828470571283</v>
      </c>
      <c r="AA21" s="103">
        <f t="shared" si="1"/>
        <v>10</v>
      </c>
      <c r="AB21" s="100">
        <f t="shared" si="1"/>
        <v>14928075</v>
      </c>
      <c r="AC21" s="101">
        <f t="shared" ref="AC21:AD51" si="3">(AA21/I21)*100%</f>
        <v>2.5</v>
      </c>
      <c r="AD21" s="101">
        <f t="shared" si="3"/>
        <v>0.64904673913043476</v>
      </c>
      <c r="AE21" s="86" t="s">
        <v>47</v>
      </c>
    </row>
    <row r="22" spans="1:31" ht="220.5" x14ac:dyDescent="0.25">
      <c r="A22" s="87">
        <v>5</v>
      </c>
      <c r="B22" s="88" t="s">
        <v>34</v>
      </c>
      <c r="C22" s="88" t="s">
        <v>36</v>
      </c>
      <c r="D22" s="87" t="s">
        <v>40</v>
      </c>
      <c r="E22" s="89">
        <v>2</v>
      </c>
      <c r="F22" s="90" t="s">
        <v>48</v>
      </c>
      <c r="G22" s="91" t="s">
        <v>49</v>
      </c>
      <c r="H22" s="92" t="s">
        <v>46</v>
      </c>
      <c r="I22" s="93">
        <v>1</v>
      </c>
      <c r="J22" s="94">
        <v>3400000</v>
      </c>
      <c r="K22" s="93">
        <v>1</v>
      </c>
      <c r="L22" s="104">
        <v>1338485</v>
      </c>
      <c r="M22" s="93">
        <v>1</v>
      </c>
      <c r="N22" s="104">
        <v>543800</v>
      </c>
      <c r="O22" s="77"/>
      <c r="P22" s="105"/>
      <c r="Q22" s="77"/>
      <c r="R22" s="78"/>
      <c r="S22" s="97"/>
      <c r="T22" s="77"/>
      <c r="U22" s="97"/>
      <c r="V22" s="96"/>
      <c r="W22" s="99">
        <f t="shared" si="2"/>
        <v>0</v>
      </c>
      <c r="X22" s="100">
        <f t="shared" si="2"/>
        <v>0</v>
      </c>
      <c r="Y22" s="101">
        <f>W22/M22*100%</f>
        <v>0</v>
      </c>
      <c r="Z22" s="102">
        <f>X22/N22*100%</f>
        <v>0</v>
      </c>
      <c r="AA22" s="103">
        <f t="shared" si="1"/>
        <v>1</v>
      </c>
      <c r="AB22" s="100">
        <f>L22+X22</f>
        <v>1338485</v>
      </c>
      <c r="AC22" s="101">
        <f t="shared" si="3"/>
        <v>1</v>
      </c>
      <c r="AD22" s="101">
        <f t="shared" si="3"/>
        <v>0.3936720588235294</v>
      </c>
      <c r="AE22" s="86" t="s">
        <v>47</v>
      </c>
    </row>
    <row r="23" spans="1:31" ht="252" x14ac:dyDescent="0.25">
      <c r="A23" s="87">
        <v>5</v>
      </c>
      <c r="B23" s="88" t="s">
        <v>34</v>
      </c>
      <c r="C23" s="87" t="s">
        <v>36</v>
      </c>
      <c r="D23" s="87" t="s">
        <v>40</v>
      </c>
      <c r="E23" s="89" t="s">
        <v>34</v>
      </c>
      <c r="F23" s="90" t="s">
        <v>50</v>
      </c>
      <c r="G23" s="91" t="s">
        <v>51</v>
      </c>
      <c r="H23" s="92" t="s">
        <v>46</v>
      </c>
      <c r="I23" s="93">
        <v>1</v>
      </c>
      <c r="J23" s="94">
        <v>3400000</v>
      </c>
      <c r="K23" s="93">
        <v>1</v>
      </c>
      <c r="L23" s="104">
        <v>1228485</v>
      </c>
      <c r="M23" s="93">
        <v>1</v>
      </c>
      <c r="N23" s="104">
        <v>543800</v>
      </c>
      <c r="O23" s="77"/>
      <c r="P23" s="77"/>
      <c r="Q23" s="77"/>
      <c r="R23" s="78"/>
      <c r="S23" s="97"/>
      <c r="T23" s="96"/>
      <c r="U23" s="97"/>
      <c r="V23" s="96"/>
      <c r="W23" s="99">
        <f t="shared" si="2"/>
        <v>0</v>
      </c>
      <c r="X23" s="100">
        <f t="shared" si="2"/>
        <v>0</v>
      </c>
      <c r="Y23" s="101">
        <f t="shared" si="0"/>
        <v>0</v>
      </c>
      <c r="Z23" s="102">
        <f>X23/N23*100%</f>
        <v>0</v>
      </c>
      <c r="AA23" s="103">
        <f>K23+W23</f>
        <v>1</v>
      </c>
      <c r="AB23" s="100">
        <f>L23+X23</f>
        <v>1228485</v>
      </c>
      <c r="AC23" s="101">
        <f t="shared" si="3"/>
        <v>1</v>
      </c>
      <c r="AD23" s="101">
        <f t="shared" si="3"/>
        <v>0.36131911764705882</v>
      </c>
      <c r="AE23" s="86" t="s">
        <v>47</v>
      </c>
    </row>
    <row r="24" spans="1:31" ht="220.5" x14ac:dyDescent="0.25">
      <c r="A24" s="87">
        <v>5</v>
      </c>
      <c r="B24" s="88" t="s">
        <v>34</v>
      </c>
      <c r="C24" s="88" t="s">
        <v>36</v>
      </c>
      <c r="D24" s="87" t="s">
        <v>40</v>
      </c>
      <c r="E24" s="89">
        <v>4</v>
      </c>
      <c r="F24" s="90" t="s">
        <v>52</v>
      </c>
      <c r="G24" s="91" t="s">
        <v>53</v>
      </c>
      <c r="H24" s="92" t="s">
        <v>46</v>
      </c>
      <c r="I24" s="93">
        <v>1</v>
      </c>
      <c r="J24" s="94">
        <v>3400000</v>
      </c>
      <c r="K24" s="93">
        <v>1</v>
      </c>
      <c r="L24" s="104">
        <v>1338485</v>
      </c>
      <c r="M24" s="93">
        <v>1</v>
      </c>
      <c r="N24" s="104">
        <v>543800</v>
      </c>
      <c r="O24" s="77"/>
      <c r="P24" s="77"/>
      <c r="Q24" s="77"/>
      <c r="R24" s="78"/>
      <c r="S24" s="97"/>
      <c r="T24" s="77"/>
      <c r="U24" s="96"/>
      <c r="V24" s="104"/>
      <c r="W24" s="99">
        <f>O24+Q24+S24+U24</f>
        <v>0</v>
      </c>
      <c r="X24" s="100">
        <f t="shared" si="2"/>
        <v>0</v>
      </c>
      <c r="Y24" s="101">
        <f>W24/M24*100%</f>
        <v>0</v>
      </c>
      <c r="Z24" s="102">
        <f t="shared" ref="Z24:Z30" si="4">X24/N24*100%</f>
        <v>0</v>
      </c>
      <c r="AA24" s="103">
        <f t="shared" si="1"/>
        <v>1</v>
      </c>
      <c r="AB24" s="100">
        <f t="shared" si="1"/>
        <v>1338485</v>
      </c>
      <c r="AC24" s="101">
        <f t="shared" si="3"/>
        <v>1</v>
      </c>
      <c r="AD24" s="101">
        <f t="shared" si="3"/>
        <v>0.3936720588235294</v>
      </c>
      <c r="AE24" s="86" t="s">
        <v>47</v>
      </c>
    </row>
    <row r="25" spans="1:31" ht="252" x14ac:dyDescent="0.25">
      <c r="A25" s="87">
        <v>5</v>
      </c>
      <c r="B25" s="88" t="s">
        <v>34</v>
      </c>
      <c r="C25" s="87" t="s">
        <v>36</v>
      </c>
      <c r="D25" s="87" t="s">
        <v>40</v>
      </c>
      <c r="E25" s="89" t="s">
        <v>54</v>
      </c>
      <c r="F25" s="90" t="s">
        <v>55</v>
      </c>
      <c r="G25" s="91" t="s">
        <v>56</v>
      </c>
      <c r="H25" s="92" t="s">
        <v>46</v>
      </c>
      <c r="I25" s="93">
        <v>1</v>
      </c>
      <c r="J25" s="94">
        <v>3400000</v>
      </c>
      <c r="K25" s="93">
        <v>1</v>
      </c>
      <c r="L25" s="106">
        <v>1228485</v>
      </c>
      <c r="M25" s="93">
        <v>1</v>
      </c>
      <c r="N25" s="106">
        <v>543800</v>
      </c>
      <c r="O25" s="77"/>
      <c r="P25" s="77"/>
      <c r="Q25" s="77"/>
      <c r="R25" s="78"/>
      <c r="S25" s="97"/>
      <c r="T25" s="96"/>
      <c r="U25" s="96"/>
      <c r="V25" s="106"/>
      <c r="W25" s="99">
        <f>O25+Q25+S25+U25</f>
        <v>0</v>
      </c>
      <c r="X25" s="100">
        <f t="shared" si="2"/>
        <v>0</v>
      </c>
      <c r="Y25" s="101">
        <f t="shared" si="0"/>
        <v>0</v>
      </c>
      <c r="Z25" s="102">
        <f t="shared" si="4"/>
        <v>0</v>
      </c>
      <c r="AA25" s="103">
        <f t="shared" si="1"/>
        <v>1</v>
      </c>
      <c r="AB25" s="100">
        <f t="shared" si="1"/>
        <v>1228485</v>
      </c>
      <c r="AC25" s="101">
        <f t="shared" si="3"/>
        <v>1</v>
      </c>
      <c r="AD25" s="101">
        <f t="shared" si="3"/>
        <v>0.36131911764705882</v>
      </c>
      <c r="AE25" s="86" t="s">
        <v>47</v>
      </c>
    </row>
    <row r="26" spans="1:31" ht="378" x14ac:dyDescent="0.25">
      <c r="A26" s="87">
        <v>5</v>
      </c>
      <c r="B26" s="88" t="s">
        <v>34</v>
      </c>
      <c r="C26" s="87" t="s">
        <v>36</v>
      </c>
      <c r="D26" s="87" t="s">
        <v>40</v>
      </c>
      <c r="E26" s="89" t="s">
        <v>57</v>
      </c>
      <c r="F26" s="90" t="s">
        <v>58</v>
      </c>
      <c r="G26" s="91" t="s">
        <v>59</v>
      </c>
      <c r="H26" s="92" t="s">
        <v>60</v>
      </c>
      <c r="I26" s="93">
        <v>8</v>
      </c>
      <c r="J26" s="94">
        <v>18500000</v>
      </c>
      <c r="K26" s="93">
        <v>8</v>
      </c>
      <c r="L26" s="106">
        <v>11160520</v>
      </c>
      <c r="M26" s="93">
        <v>8</v>
      </c>
      <c r="N26" s="106">
        <v>2611200</v>
      </c>
      <c r="O26" s="93">
        <v>2</v>
      </c>
      <c r="P26" s="77"/>
      <c r="Q26" s="107">
        <v>2</v>
      </c>
      <c r="R26" s="98">
        <v>652800</v>
      </c>
      <c r="S26" s="97"/>
      <c r="T26" s="108"/>
      <c r="U26" s="96"/>
      <c r="V26" s="96"/>
      <c r="W26" s="99">
        <f>O26+Q26+S26+U26</f>
        <v>4</v>
      </c>
      <c r="X26" s="100">
        <f t="shared" si="2"/>
        <v>652800</v>
      </c>
      <c r="Y26" s="101">
        <f>W26/M26*100%</f>
        <v>0.5</v>
      </c>
      <c r="Z26" s="102">
        <f t="shared" si="4"/>
        <v>0.25</v>
      </c>
      <c r="AA26" s="103">
        <f t="shared" si="1"/>
        <v>12</v>
      </c>
      <c r="AB26" s="100">
        <f t="shared" si="1"/>
        <v>11813320</v>
      </c>
      <c r="AC26" s="101">
        <f t="shared" si="3"/>
        <v>1.5</v>
      </c>
      <c r="AD26" s="101">
        <f t="shared" si="3"/>
        <v>0.63855783783783782</v>
      </c>
      <c r="AE26" s="109" t="s">
        <v>47</v>
      </c>
    </row>
    <row r="27" spans="1:31" ht="94.5" x14ac:dyDescent="0.25">
      <c r="A27" s="87">
        <v>5</v>
      </c>
      <c r="B27" s="88" t="s">
        <v>34</v>
      </c>
      <c r="C27" s="88" t="s">
        <v>36</v>
      </c>
      <c r="D27" s="87" t="s">
        <v>40</v>
      </c>
      <c r="E27" s="89">
        <v>7</v>
      </c>
      <c r="F27" s="90" t="s">
        <v>61</v>
      </c>
      <c r="G27" s="91" t="s">
        <v>62</v>
      </c>
      <c r="H27" s="92" t="s">
        <v>60</v>
      </c>
      <c r="I27" s="93">
        <v>4</v>
      </c>
      <c r="J27" s="94">
        <v>69000000</v>
      </c>
      <c r="K27" s="93">
        <v>4</v>
      </c>
      <c r="L27" s="106">
        <v>22980000</v>
      </c>
      <c r="M27" s="93">
        <v>4</v>
      </c>
      <c r="N27" s="106">
        <v>4264155</v>
      </c>
      <c r="O27" s="96">
        <v>1</v>
      </c>
      <c r="P27" s="96">
        <v>2120145</v>
      </c>
      <c r="Q27" s="96"/>
      <c r="R27" s="98">
        <v>742645</v>
      </c>
      <c r="S27" s="96"/>
      <c r="T27" s="110"/>
      <c r="U27" s="96"/>
      <c r="V27" s="96"/>
      <c r="W27" s="99">
        <f>O27+Q27+S27+U27</f>
        <v>1</v>
      </c>
      <c r="X27" s="100">
        <f t="shared" si="2"/>
        <v>2862790</v>
      </c>
      <c r="Y27" s="101">
        <f>W27/M27*100%</f>
        <v>0.25</v>
      </c>
      <c r="Z27" s="102">
        <f t="shared" si="4"/>
        <v>0.67136161795244309</v>
      </c>
      <c r="AA27" s="103">
        <f t="shared" si="1"/>
        <v>5</v>
      </c>
      <c r="AB27" s="100">
        <f t="shared" si="1"/>
        <v>25842790</v>
      </c>
      <c r="AC27" s="101">
        <f t="shared" si="3"/>
        <v>1.25</v>
      </c>
      <c r="AD27" s="101">
        <f t="shared" si="3"/>
        <v>0.37453318840579708</v>
      </c>
      <c r="AE27" s="111" t="s">
        <v>47</v>
      </c>
    </row>
    <row r="28" spans="1:31" ht="252" x14ac:dyDescent="0.25">
      <c r="A28" s="73">
        <v>5</v>
      </c>
      <c r="B28" s="74" t="s">
        <v>34</v>
      </c>
      <c r="C28" s="74" t="s">
        <v>36</v>
      </c>
      <c r="D28" s="73" t="s">
        <v>63</v>
      </c>
      <c r="E28" s="112"/>
      <c r="F28" s="75" t="s">
        <v>64</v>
      </c>
      <c r="G28" s="75" t="s">
        <v>65</v>
      </c>
      <c r="H28" s="76" t="s">
        <v>43</v>
      </c>
      <c r="I28" s="80">
        <v>100</v>
      </c>
      <c r="J28" s="79">
        <f>SUM(J29:J30)</f>
        <v>9523000000</v>
      </c>
      <c r="K28" s="80">
        <v>100</v>
      </c>
      <c r="L28" s="79">
        <f>SUM(L29:L30)</f>
        <v>6731992636</v>
      </c>
      <c r="M28" s="80">
        <v>100</v>
      </c>
      <c r="N28" s="78">
        <f>SUM(N29:N30)</f>
        <v>6325454878</v>
      </c>
      <c r="O28" s="80">
        <v>25</v>
      </c>
      <c r="P28" s="78">
        <f>SUM(P29:P30)</f>
        <v>1768970997</v>
      </c>
      <c r="Q28" s="80">
        <v>25</v>
      </c>
      <c r="R28" s="78">
        <f>SUM(R29:R30)</f>
        <v>1381961341</v>
      </c>
      <c r="S28" s="80"/>
      <c r="T28" s="79"/>
      <c r="U28" s="80"/>
      <c r="V28" s="79">
        <f>SUM(V29:V30)</f>
        <v>0</v>
      </c>
      <c r="W28" s="80">
        <f>O28+Q28+S28+U28</f>
        <v>50</v>
      </c>
      <c r="X28" s="79">
        <f>SUM(X29:X30)</f>
        <v>3150932338</v>
      </c>
      <c r="Y28" s="82">
        <f>W28/M28*100%</f>
        <v>0.5</v>
      </c>
      <c r="Z28" s="83">
        <f t="shared" si="4"/>
        <v>0.49813529600202772</v>
      </c>
      <c r="AA28" s="84">
        <f t="shared" si="1"/>
        <v>150</v>
      </c>
      <c r="AB28" s="85">
        <f t="shared" si="1"/>
        <v>9882924974</v>
      </c>
      <c r="AC28" s="82">
        <f t="shared" si="3"/>
        <v>1.5</v>
      </c>
      <c r="AD28" s="82">
        <f t="shared" si="3"/>
        <v>1.0377953348734643</v>
      </c>
      <c r="AE28" s="109" t="s">
        <v>47</v>
      </c>
    </row>
    <row r="29" spans="1:31" ht="126" x14ac:dyDescent="0.25">
      <c r="A29" s="87">
        <v>5</v>
      </c>
      <c r="B29" s="88" t="s">
        <v>34</v>
      </c>
      <c r="C29" s="88" t="s">
        <v>36</v>
      </c>
      <c r="D29" s="87" t="s">
        <v>63</v>
      </c>
      <c r="E29" s="89">
        <v>1</v>
      </c>
      <c r="F29" s="90" t="s">
        <v>66</v>
      </c>
      <c r="G29" s="91" t="s">
        <v>67</v>
      </c>
      <c r="H29" s="92" t="s">
        <v>68</v>
      </c>
      <c r="I29" s="96">
        <v>58</v>
      </c>
      <c r="J29" s="94">
        <v>9500000000</v>
      </c>
      <c r="K29" s="96">
        <v>58</v>
      </c>
      <c r="L29" s="113">
        <v>6724089558</v>
      </c>
      <c r="M29" s="96">
        <v>50</v>
      </c>
      <c r="N29" s="113">
        <v>6323717358</v>
      </c>
      <c r="O29" s="114">
        <v>50</v>
      </c>
      <c r="P29" s="115">
        <v>1767989737</v>
      </c>
      <c r="Q29" s="96">
        <v>50</v>
      </c>
      <c r="R29" s="98">
        <v>1381961341</v>
      </c>
      <c r="S29" s="96"/>
      <c r="T29" s="96"/>
      <c r="U29" s="96"/>
      <c r="V29" s="96"/>
      <c r="W29" s="99">
        <f>M29</f>
        <v>50</v>
      </c>
      <c r="X29" s="100">
        <f>P29+R29+T29+V29</f>
        <v>3149951078</v>
      </c>
      <c r="Y29" s="101">
        <f>W29/M29*100%</f>
        <v>1</v>
      </c>
      <c r="Z29" s="102">
        <f t="shared" si="4"/>
        <v>0.49811699348249083</v>
      </c>
      <c r="AA29" s="116">
        <f>K29+W29</f>
        <v>108</v>
      </c>
      <c r="AB29" s="100">
        <f>L29+X29</f>
        <v>9874040636</v>
      </c>
      <c r="AC29" s="101">
        <f t="shared" si="3"/>
        <v>1.8620689655172413</v>
      </c>
      <c r="AD29" s="101">
        <f t="shared" si="3"/>
        <v>1.0393726985263159</v>
      </c>
      <c r="AE29" s="109" t="s">
        <v>47</v>
      </c>
    </row>
    <row r="30" spans="1:31" ht="283.5" x14ac:dyDescent="0.25">
      <c r="A30" s="87">
        <v>5</v>
      </c>
      <c r="B30" s="88" t="s">
        <v>34</v>
      </c>
      <c r="C30" s="87" t="s">
        <v>36</v>
      </c>
      <c r="D30" s="87" t="s">
        <v>63</v>
      </c>
      <c r="E30" s="89" t="s">
        <v>54</v>
      </c>
      <c r="F30" s="90" t="s">
        <v>69</v>
      </c>
      <c r="G30" s="91" t="s">
        <v>70</v>
      </c>
      <c r="H30" s="92" t="s">
        <v>46</v>
      </c>
      <c r="I30" s="96">
        <v>2</v>
      </c>
      <c r="J30" s="94">
        <v>23000000</v>
      </c>
      <c r="K30" s="117">
        <v>2</v>
      </c>
      <c r="L30" s="106">
        <v>7903078</v>
      </c>
      <c r="M30" s="117">
        <v>1</v>
      </c>
      <c r="N30" s="118">
        <v>1737520</v>
      </c>
      <c r="O30" s="119"/>
      <c r="P30" s="96">
        <v>981260</v>
      </c>
      <c r="Q30" s="119">
        <v>1</v>
      </c>
      <c r="R30" s="98">
        <v>0</v>
      </c>
      <c r="S30" s="96"/>
      <c r="T30" s="96"/>
      <c r="U30" s="96"/>
      <c r="V30" s="96"/>
      <c r="W30" s="99">
        <f>O30+Q30+S30+U30</f>
        <v>1</v>
      </c>
      <c r="X30" s="100">
        <f t="shared" si="2"/>
        <v>981260</v>
      </c>
      <c r="Y30" s="101">
        <f>W30/M30*100%</f>
        <v>1</v>
      </c>
      <c r="Z30" s="102">
        <f t="shared" si="4"/>
        <v>0.5647474561443897</v>
      </c>
      <c r="AA30" s="103">
        <f t="shared" ref="AA30:AB59" si="5">K30+W30</f>
        <v>3</v>
      </c>
      <c r="AB30" s="100">
        <f t="shared" si="5"/>
        <v>8884338</v>
      </c>
      <c r="AC30" s="101">
        <f t="shared" si="3"/>
        <v>1.5</v>
      </c>
      <c r="AD30" s="101">
        <f t="shared" si="3"/>
        <v>0.38627556521739131</v>
      </c>
      <c r="AE30" s="109" t="s">
        <v>47</v>
      </c>
    </row>
    <row r="31" spans="1:31" ht="173.25" x14ac:dyDescent="0.25">
      <c r="A31" s="73">
        <v>5</v>
      </c>
      <c r="B31" s="74" t="s">
        <v>34</v>
      </c>
      <c r="C31" s="73" t="s">
        <v>36</v>
      </c>
      <c r="D31" s="73" t="s">
        <v>71</v>
      </c>
      <c r="E31" s="112"/>
      <c r="F31" s="75" t="s">
        <v>72</v>
      </c>
      <c r="G31" s="120" t="s">
        <v>73</v>
      </c>
      <c r="H31" s="76" t="s">
        <v>43</v>
      </c>
      <c r="I31" s="80">
        <v>100</v>
      </c>
      <c r="J31" s="79">
        <f>SUM(J32:J32)</f>
        <v>41000000</v>
      </c>
      <c r="K31" s="77">
        <v>100</v>
      </c>
      <c r="L31" s="121">
        <f>SUM(L32:L32)</f>
        <v>33222195</v>
      </c>
      <c r="M31" s="77">
        <v>0</v>
      </c>
      <c r="N31" s="121">
        <f>SUM(N32:N32)</f>
        <v>0</v>
      </c>
      <c r="O31" s="77">
        <v>0</v>
      </c>
      <c r="P31" s="121">
        <f>SUM(P32:P32)</f>
        <v>0</v>
      </c>
      <c r="Q31" s="122"/>
      <c r="R31" s="79"/>
      <c r="S31" s="122"/>
      <c r="T31" s="79"/>
      <c r="U31" s="122"/>
      <c r="V31" s="79">
        <f>SUM(V32:V32)</f>
        <v>0</v>
      </c>
      <c r="W31" s="77">
        <f t="shared" si="2"/>
        <v>0</v>
      </c>
      <c r="X31" s="121">
        <f>SUM(X32:X32)</f>
        <v>0</v>
      </c>
      <c r="Y31" s="82">
        <v>0</v>
      </c>
      <c r="Z31" s="83">
        <f>Z32</f>
        <v>0</v>
      </c>
      <c r="AA31" s="84">
        <f>K31+W31</f>
        <v>100</v>
      </c>
      <c r="AB31" s="85">
        <f>L31+X31</f>
        <v>33222195</v>
      </c>
      <c r="AC31" s="82">
        <f t="shared" si="3"/>
        <v>1</v>
      </c>
      <c r="AD31" s="82">
        <f t="shared" si="3"/>
        <v>0.81029743902439022</v>
      </c>
      <c r="AE31" s="109" t="s">
        <v>47</v>
      </c>
    </row>
    <row r="32" spans="1:31" ht="126" x14ac:dyDescent="0.25">
      <c r="A32" s="87">
        <v>5</v>
      </c>
      <c r="B32" s="88" t="s">
        <v>34</v>
      </c>
      <c r="C32" s="88" t="s">
        <v>36</v>
      </c>
      <c r="D32" s="87" t="s">
        <v>71</v>
      </c>
      <c r="E32" s="89">
        <v>2</v>
      </c>
      <c r="F32" s="90" t="s">
        <v>74</v>
      </c>
      <c r="G32" s="123" t="s">
        <v>75</v>
      </c>
      <c r="H32" s="92" t="s">
        <v>46</v>
      </c>
      <c r="I32" s="96">
        <v>1</v>
      </c>
      <c r="J32" s="94">
        <v>41000000</v>
      </c>
      <c r="K32" s="124">
        <v>1</v>
      </c>
      <c r="L32" s="113">
        <v>33222195</v>
      </c>
      <c r="M32" s="77">
        <v>0</v>
      </c>
      <c r="N32" s="125">
        <v>0</v>
      </c>
      <c r="O32" s="96"/>
      <c r="P32" s="96"/>
      <c r="Q32" s="97"/>
      <c r="R32" s="98"/>
      <c r="S32" s="77"/>
      <c r="T32" s="77"/>
      <c r="U32" s="77"/>
      <c r="V32" s="96"/>
      <c r="W32" s="77">
        <f t="shared" si="2"/>
        <v>0</v>
      </c>
      <c r="X32" s="100">
        <f>P32+R32+T32+V32</f>
        <v>0</v>
      </c>
      <c r="Y32" s="101">
        <v>0</v>
      </c>
      <c r="Z32" s="102">
        <v>0</v>
      </c>
      <c r="AA32" s="103">
        <f t="shared" si="5"/>
        <v>1</v>
      </c>
      <c r="AB32" s="100">
        <f>L32+X32</f>
        <v>33222195</v>
      </c>
      <c r="AC32" s="101">
        <f t="shared" si="3"/>
        <v>1</v>
      </c>
      <c r="AD32" s="101">
        <f t="shared" si="3"/>
        <v>0.81029743902439022</v>
      </c>
      <c r="AE32" s="109" t="s">
        <v>47</v>
      </c>
    </row>
    <row r="33" spans="1:31" ht="157.5" x14ac:dyDescent="0.25">
      <c r="A33" s="73">
        <v>5</v>
      </c>
      <c r="B33" s="74" t="s">
        <v>34</v>
      </c>
      <c r="C33" s="74" t="s">
        <v>36</v>
      </c>
      <c r="D33" s="73" t="s">
        <v>76</v>
      </c>
      <c r="E33" s="112"/>
      <c r="F33" s="75" t="s">
        <v>77</v>
      </c>
      <c r="G33" s="120" t="s">
        <v>78</v>
      </c>
      <c r="H33" s="76" t="s">
        <v>43</v>
      </c>
      <c r="I33" s="77">
        <v>100</v>
      </c>
      <c r="J33" s="79">
        <f>SUM(J34:J35)</f>
        <v>161000000</v>
      </c>
      <c r="K33" s="77">
        <v>100</v>
      </c>
      <c r="L33" s="79">
        <f>SUM(L34:L35)</f>
        <v>11233900</v>
      </c>
      <c r="M33" s="77">
        <v>0</v>
      </c>
      <c r="N33" s="79"/>
      <c r="O33" s="126"/>
      <c r="P33" s="79">
        <f>SUM(P34:P35)</f>
        <v>0</v>
      </c>
      <c r="Q33" s="126"/>
      <c r="R33" s="79">
        <f>SUM(R34:R35)</f>
        <v>0</v>
      </c>
      <c r="S33" s="77"/>
      <c r="T33" s="79">
        <f>SUM(T34:T35)</f>
        <v>0</v>
      </c>
      <c r="U33" s="126"/>
      <c r="V33" s="79">
        <f>SUM(V34:V35)</f>
        <v>0</v>
      </c>
      <c r="W33" s="77">
        <f t="shared" si="2"/>
        <v>0</v>
      </c>
      <c r="X33" s="79"/>
      <c r="Y33" s="82">
        <v>0</v>
      </c>
      <c r="Z33" s="83">
        <v>0</v>
      </c>
      <c r="AA33" s="84">
        <f t="shared" si="5"/>
        <v>100</v>
      </c>
      <c r="AB33" s="122"/>
      <c r="AC33" s="82">
        <f t="shared" si="3"/>
        <v>1</v>
      </c>
      <c r="AD33" s="82">
        <f t="shared" si="3"/>
        <v>0</v>
      </c>
      <c r="AE33" s="109" t="s">
        <v>47</v>
      </c>
    </row>
    <row r="34" spans="1:31" ht="157.5" x14ac:dyDescent="0.25">
      <c r="A34" s="87">
        <v>5</v>
      </c>
      <c r="B34" s="88" t="s">
        <v>34</v>
      </c>
      <c r="C34" s="87" t="s">
        <v>36</v>
      </c>
      <c r="D34" s="87" t="s">
        <v>76</v>
      </c>
      <c r="E34" s="89" t="s">
        <v>79</v>
      </c>
      <c r="F34" s="90" t="s">
        <v>80</v>
      </c>
      <c r="G34" s="123" t="s">
        <v>81</v>
      </c>
      <c r="H34" s="92" t="s">
        <v>82</v>
      </c>
      <c r="I34" s="96">
        <v>2</v>
      </c>
      <c r="J34" s="96">
        <v>57000000</v>
      </c>
      <c r="K34" s="96"/>
      <c r="L34" s="98">
        <v>0</v>
      </c>
      <c r="M34" s="96">
        <v>0</v>
      </c>
      <c r="N34" s="113">
        <v>0</v>
      </c>
      <c r="O34" s="77">
        <v>0</v>
      </c>
      <c r="P34" s="77">
        <v>0</v>
      </c>
      <c r="Q34" s="77">
        <v>0</v>
      </c>
      <c r="R34" s="78">
        <v>0</v>
      </c>
      <c r="S34" s="77">
        <v>0</v>
      </c>
      <c r="T34" s="77">
        <v>0</v>
      </c>
      <c r="U34" s="77">
        <v>0</v>
      </c>
      <c r="V34" s="96">
        <v>0</v>
      </c>
      <c r="W34" s="127">
        <f t="shared" si="2"/>
        <v>0</v>
      </c>
      <c r="X34" s="100">
        <f t="shared" si="2"/>
        <v>0</v>
      </c>
      <c r="Y34" s="101">
        <v>0</v>
      </c>
      <c r="Z34" s="83">
        <v>0</v>
      </c>
      <c r="AA34" s="103">
        <f t="shared" si="5"/>
        <v>0</v>
      </c>
      <c r="AB34" s="100">
        <f t="shared" si="5"/>
        <v>0</v>
      </c>
      <c r="AC34" s="101">
        <f t="shared" si="3"/>
        <v>0</v>
      </c>
      <c r="AD34" s="101">
        <f t="shared" si="3"/>
        <v>0</v>
      </c>
      <c r="AE34" s="111" t="s">
        <v>47</v>
      </c>
    </row>
    <row r="35" spans="1:31" ht="173.25" x14ac:dyDescent="0.25">
      <c r="A35" s="87">
        <v>5</v>
      </c>
      <c r="B35" s="88" t="s">
        <v>34</v>
      </c>
      <c r="C35" s="88" t="s">
        <v>36</v>
      </c>
      <c r="D35" s="87" t="s">
        <v>76</v>
      </c>
      <c r="E35" s="89">
        <v>10</v>
      </c>
      <c r="F35" s="90" t="s">
        <v>83</v>
      </c>
      <c r="G35" s="91" t="s">
        <v>84</v>
      </c>
      <c r="H35" s="92" t="s">
        <v>85</v>
      </c>
      <c r="I35" s="96">
        <v>50</v>
      </c>
      <c r="J35" s="96">
        <v>104000000</v>
      </c>
      <c r="K35" s="117">
        <v>48</v>
      </c>
      <c r="L35" s="113">
        <v>11233900</v>
      </c>
      <c r="M35" s="117">
        <v>0</v>
      </c>
      <c r="N35" s="113">
        <v>0</v>
      </c>
      <c r="O35" s="77">
        <v>0</v>
      </c>
      <c r="P35" s="77">
        <v>0</v>
      </c>
      <c r="Q35" s="77">
        <v>0</v>
      </c>
      <c r="R35" s="77">
        <v>0</v>
      </c>
      <c r="S35" s="77">
        <v>0</v>
      </c>
      <c r="T35" s="77">
        <v>0</v>
      </c>
      <c r="U35" s="77">
        <v>0</v>
      </c>
      <c r="V35" s="77">
        <v>0</v>
      </c>
      <c r="W35" s="99">
        <f>O35+Q35+S35+U35</f>
        <v>0</v>
      </c>
      <c r="X35" s="100">
        <f t="shared" si="2"/>
        <v>0</v>
      </c>
      <c r="Y35" s="101">
        <v>0</v>
      </c>
      <c r="Z35" s="83">
        <v>0</v>
      </c>
      <c r="AA35" s="103">
        <f t="shared" si="5"/>
        <v>48</v>
      </c>
      <c r="AB35" s="100">
        <f t="shared" si="5"/>
        <v>11233900</v>
      </c>
      <c r="AC35" s="101">
        <f t="shared" si="3"/>
        <v>0.96</v>
      </c>
      <c r="AD35" s="101">
        <f t="shared" si="3"/>
        <v>0.10801826923076924</v>
      </c>
      <c r="AE35" s="109" t="s">
        <v>47</v>
      </c>
    </row>
    <row r="36" spans="1:31" ht="141.75" x14ac:dyDescent="0.25">
      <c r="A36" s="73">
        <v>5</v>
      </c>
      <c r="B36" s="74" t="s">
        <v>34</v>
      </c>
      <c r="C36" s="74" t="s">
        <v>36</v>
      </c>
      <c r="D36" s="73" t="s">
        <v>86</v>
      </c>
      <c r="E36" s="112"/>
      <c r="F36" s="75" t="s">
        <v>87</v>
      </c>
      <c r="G36" s="75" t="s">
        <v>88</v>
      </c>
      <c r="H36" s="76" t="s">
        <v>43</v>
      </c>
      <c r="I36" s="128">
        <v>100</v>
      </c>
      <c r="J36" s="85">
        <f>SUM(J37:J43)</f>
        <v>1171500000</v>
      </c>
      <c r="K36" s="128">
        <v>100</v>
      </c>
      <c r="L36" s="85">
        <f>SUM(L37:L43)</f>
        <v>782545873</v>
      </c>
      <c r="M36" s="128">
        <v>100</v>
      </c>
      <c r="N36" s="78">
        <f>SUM(N37:N43)</f>
        <v>219506910</v>
      </c>
      <c r="O36" s="128">
        <v>25</v>
      </c>
      <c r="P36" s="78">
        <f>SUM(P37:P43)</f>
        <v>17699900</v>
      </c>
      <c r="Q36" s="128">
        <v>25</v>
      </c>
      <c r="R36" s="78">
        <f>SUM(R37:R43)</f>
        <v>62424713</v>
      </c>
      <c r="S36" s="77"/>
      <c r="T36" s="79"/>
      <c r="U36" s="77"/>
      <c r="V36" s="79"/>
      <c r="W36" s="128">
        <f>O36+Q36+S36+U36</f>
        <v>50</v>
      </c>
      <c r="X36" s="85">
        <f>SUM(X37:X43)</f>
        <v>80124613</v>
      </c>
      <c r="Y36" s="82">
        <f>W36/M36*100%</f>
        <v>0.5</v>
      </c>
      <c r="Z36" s="83">
        <f t="shared" ref="Z36:Z41" si="6">X36/N36*100%</f>
        <v>0.36502091437577067</v>
      </c>
      <c r="AA36" s="84">
        <f t="shared" si="5"/>
        <v>150</v>
      </c>
      <c r="AB36" s="85">
        <f t="shared" si="5"/>
        <v>862670486</v>
      </c>
      <c r="AC36" s="82">
        <f t="shared" si="3"/>
        <v>1.5</v>
      </c>
      <c r="AD36" s="82">
        <f t="shared" si="3"/>
        <v>0.73638112334613748</v>
      </c>
      <c r="AE36" s="109" t="s">
        <v>47</v>
      </c>
    </row>
    <row r="37" spans="1:31" ht="157.5" x14ac:dyDescent="0.25">
      <c r="A37" s="87">
        <v>5</v>
      </c>
      <c r="B37" s="88" t="s">
        <v>34</v>
      </c>
      <c r="C37" s="88" t="s">
        <v>36</v>
      </c>
      <c r="D37" s="87" t="s">
        <v>86</v>
      </c>
      <c r="E37" s="89">
        <v>2</v>
      </c>
      <c r="F37" s="90" t="s">
        <v>89</v>
      </c>
      <c r="G37" s="123" t="s">
        <v>90</v>
      </c>
      <c r="H37" s="92" t="s">
        <v>82</v>
      </c>
      <c r="I37" s="96">
        <v>1</v>
      </c>
      <c r="J37" s="96">
        <v>104000000</v>
      </c>
      <c r="K37" s="96">
        <v>1</v>
      </c>
      <c r="L37" s="113">
        <v>74249121</v>
      </c>
      <c r="M37" s="96">
        <v>1</v>
      </c>
      <c r="N37" s="113">
        <v>21002120</v>
      </c>
      <c r="O37" s="77">
        <v>0</v>
      </c>
      <c r="P37" s="77">
        <v>0</v>
      </c>
      <c r="Q37" s="96">
        <v>0</v>
      </c>
      <c r="R37" s="96">
        <v>10489700</v>
      </c>
      <c r="S37" s="77"/>
      <c r="T37" s="96"/>
      <c r="U37" s="96"/>
      <c r="V37" s="96"/>
      <c r="W37" s="99">
        <f>O37+Q37+S37+U37</f>
        <v>0</v>
      </c>
      <c r="X37" s="100">
        <f t="shared" ref="W37:X46" si="7">P37+R37+T37+V37</f>
        <v>10489700</v>
      </c>
      <c r="Y37" s="101">
        <f>W37/M37*100%</f>
        <v>0</v>
      </c>
      <c r="Z37" s="102">
        <f t="shared" si="6"/>
        <v>0.49945910222396595</v>
      </c>
      <c r="AA37" s="103">
        <f t="shared" si="5"/>
        <v>1</v>
      </c>
      <c r="AB37" s="100">
        <f t="shared" si="5"/>
        <v>84738821</v>
      </c>
      <c r="AC37" s="101">
        <f t="shared" si="3"/>
        <v>1</v>
      </c>
      <c r="AD37" s="101">
        <f t="shared" si="3"/>
        <v>0.81479635576923082</v>
      </c>
      <c r="AE37" s="109" t="s">
        <v>47</v>
      </c>
    </row>
    <row r="38" spans="1:31" ht="126" x14ac:dyDescent="0.25">
      <c r="A38" s="87">
        <v>5</v>
      </c>
      <c r="B38" s="88" t="s">
        <v>34</v>
      </c>
      <c r="C38" s="88" t="s">
        <v>36</v>
      </c>
      <c r="D38" s="87" t="s">
        <v>86</v>
      </c>
      <c r="E38" s="89">
        <v>4</v>
      </c>
      <c r="F38" s="90" t="s">
        <v>91</v>
      </c>
      <c r="G38" s="91" t="s">
        <v>92</v>
      </c>
      <c r="H38" s="92" t="s">
        <v>82</v>
      </c>
      <c r="I38" s="96">
        <v>1</v>
      </c>
      <c r="J38" s="96">
        <v>6900000</v>
      </c>
      <c r="K38" s="96">
        <v>1</v>
      </c>
      <c r="L38" s="106">
        <v>4725000</v>
      </c>
      <c r="M38" s="96">
        <v>1</v>
      </c>
      <c r="N38" s="106">
        <v>2322430</v>
      </c>
      <c r="O38" s="77">
        <v>0</v>
      </c>
      <c r="P38" s="96">
        <v>450000</v>
      </c>
      <c r="Q38" s="96">
        <v>0</v>
      </c>
      <c r="R38" s="96">
        <v>922500</v>
      </c>
      <c r="S38" s="96"/>
      <c r="T38" s="96"/>
      <c r="U38" s="96"/>
      <c r="V38" s="96"/>
      <c r="W38" s="99">
        <f>O38+Q38+S38+U38</f>
        <v>0</v>
      </c>
      <c r="X38" s="100">
        <f t="shared" si="7"/>
        <v>1372500</v>
      </c>
      <c r="Y38" s="101">
        <f t="shared" ref="Y38:Y40" si="8">W38/M38*100%</f>
        <v>0</v>
      </c>
      <c r="Z38" s="102">
        <f t="shared" si="6"/>
        <v>0.59097583134906106</v>
      </c>
      <c r="AA38" s="103">
        <f t="shared" si="5"/>
        <v>1</v>
      </c>
      <c r="AB38" s="100">
        <f t="shared" si="5"/>
        <v>6097500</v>
      </c>
      <c r="AC38" s="101">
        <f t="shared" si="3"/>
        <v>1</v>
      </c>
      <c r="AD38" s="101">
        <f t="shared" si="3"/>
        <v>0.88369565217391299</v>
      </c>
      <c r="AE38" s="109" t="s">
        <v>47</v>
      </c>
    </row>
    <row r="39" spans="1:31" ht="157.5" x14ac:dyDescent="0.25">
      <c r="A39" s="87">
        <v>5</v>
      </c>
      <c r="B39" s="88" t="s">
        <v>34</v>
      </c>
      <c r="C39" s="88" t="s">
        <v>36</v>
      </c>
      <c r="D39" s="87" t="s">
        <v>86</v>
      </c>
      <c r="E39" s="89">
        <v>5</v>
      </c>
      <c r="F39" s="90" t="s">
        <v>93</v>
      </c>
      <c r="G39" s="91" t="s">
        <v>94</v>
      </c>
      <c r="H39" s="92" t="s">
        <v>82</v>
      </c>
      <c r="I39" s="129">
        <v>2</v>
      </c>
      <c r="J39" s="96">
        <v>107600000</v>
      </c>
      <c r="K39" s="129">
        <v>2</v>
      </c>
      <c r="L39" s="113">
        <v>70371900</v>
      </c>
      <c r="M39" s="129">
        <v>2</v>
      </c>
      <c r="N39" s="113">
        <v>30033360</v>
      </c>
      <c r="O39" s="77">
        <v>0</v>
      </c>
      <c r="P39" s="96">
        <v>4720650</v>
      </c>
      <c r="Q39" s="96">
        <v>0</v>
      </c>
      <c r="R39" s="96">
        <v>8191400</v>
      </c>
      <c r="S39" s="77"/>
      <c r="T39" s="96"/>
      <c r="U39" s="96"/>
      <c r="V39" s="96"/>
      <c r="W39" s="99">
        <f t="shared" si="7"/>
        <v>0</v>
      </c>
      <c r="X39" s="100">
        <f t="shared" si="7"/>
        <v>12912050</v>
      </c>
      <c r="Y39" s="101">
        <f t="shared" si="8"/>
        <v>0</v>
      </c>
      <c r="Z39" s="102">
        <f t="shared" si="6"/>
        <v>0.42992359163277105</v>
      </c>
      <c r="AA39" s="103">
        <f t="shared" si="5"/>
        <v>2</v>
      </c>
      <c r="AB39" s="100">
        <f t="shared" si="5"/>
        <v>83283950</v>
      </c>
      <c r="AC39" s="101">
        <f t="shared" si="3"/>
        <v>1</v>
      </c>
      <c r="AD39" s="101">
        <f t="shared" si="3"/>
        <v>0.77401440520446096</v>
      </c>
      <c r="AE39" s="111" t="s">
        <v>47</v>
      </c>
    </row>
    <row r="40" spans="1:31" ht="189" x14ac:dyDescent="0.25">
      <c r="A40" s="87">
        <v>5</v>
      </c>
      <c r="B40" s="88" t="s">
        <v>34</v>
      </c>
      <c r="C40" s="87" t="s">
        <v>36</v>
      </c>
      <c r="D40" s="87" t="s">
        <v>86</v>
      </c>
      <c r="E40" s="89" t="s">
        <v>57</v>
      </c>
      <c r="F40" s="90" t="s">
        <v>95</v>
      </c>
      <c r="G40" s="130" t="s">
        <v>96</v>
      </c>
      <c r="H40" s="92" t="s">
        <v>46</v>
      </c>
      <c r="I40" s="131">
        <v>2</v>
      </c>
      <c r="J40" s="96">
        <v>347000000</v>
      </c>
      <c r="K40" s="131">
        <v>2</v>
      </c>
      <c r="L40" s="113">
        <v>219210000</v>
      </c>
      <c r="M40" s="131">
        <v>2</v>
      </c>
      <c r="N40" s="113">
        <v>11592000</v>
      </c>
      <c r="O40" s="77">
        <v>0</v>
      </c>
      <c r="P40" s="96">
        <v>3660000</v>
      </c>
      <c r="Q40" s="96">
        <v>0</v>
      </c>
      <c r="R40" s="96">
        <v>2990000</v>
      </c>
      <c r="S40" s="96"/>
      <c r="T40" s="96"/>
      <c r="U40" s="96"/>
      <c r="V40" s="96"/>
      <c r="W40" s="99">
        <f t="shared" si="7"/>
        <v>0</v>
      </c>
      <c r="X40" s="100">
        <f t="shared" si="7"/>
        <v>6650000</v>
      </c>
      <c r="Y40" s="101">
        <f t="shared" si="8"/>
        <v>0</v>
      </c>
      <c r="Z40" s="102">
        <f t="shared" si="6"/>
        <v>0.57367149758454106</v>
      </c>
      <c r="AA40" s="103">
        <f t="shared" si="5"/>
        <v>2</v>
      </c>
      <c r="AB40" s="100">
        <f t="shared" si="5"/>
        <v>225860000</v>
      </c>
      <c r="AC40" s="101">
        <f t="shared" si="3"/>
        <v>1</v>
      </c>
      <c r="AD40" s="101">
        <f t="shared" si="3"/>
        <v>0.65089337175792505</v>
      </c>
      <c r="AE40" s="109" t="s">
        <v>47</v>
      </c>
    </row>
    <row r="41" spans="1:31" ht="78.75" x14ac:dyDescent="0.25">
      <c r="A41" s="87">
        <v>5</v>
      </c>
      <c r="B41" s="88" t="s">
        <v>34</v>
      </c>
      <c r="C41" s="88" t="s">
        <v>36</v>
      </c>
      <c r="D41" s="87" t="s">
        <v>86</v>
      </c>
      <c r="E41" s="89">
        <v>8</v>
      </c>
      <c r="F41" s="90" t="s">
        <v>97</v>
      </c>
      <c r="G41" s="123" t="s">
        <v>98</v>
      </c>
      <c r="H41" s="92" t="s">
        <v>85</v>
      </c>
      <c r="I41" s="96">
        <v>12</v>
      </c>
      <c r="J41" s="96">
        <v>34000000</v>
      </c>
      <c r="K41" s="96">
        <v>12</v>
      </c>
      <c r="L41" s="113">
        <v>22500000</v>
      </c>
      <c r="M41" s="96">
        <v>10</v>
      </c>
      <c r="N41" s="113">
        <v>7500000</v>
      </c>
      <c r="O41" s="132">
        <v>3</v>
      </c>
      <c r="P41" s="96">
        <v>4000000</v>
      </c>
      <c r="Q41" s="96">
        <v>3</v>
      </c>
      <c r="R41" s="96">
        <v>2309900</v>
      </c>
      <c r="S41" s="96"/>
      <c r="T41" s="96"/>
      <c r="U41" s="96"/>
      <c r="V41" s="96"/>
      <c r="W41" s="99">
        <f>O41+Q41+S41+U41</f>
        <v>6</v>
      </c>
      <c r="X41" s="100">
        <f t="shared" si="7"/>
        <v>6309900</v>
      </c>
      <c r="Y41" s="101">
        <f>W41/M41*100%</f>
        <v>0.6</v>
      </c>
      <c r="Z41" s="102">
        <f t="shared" si="6"/>
        <v>0.84131999999999996</v>
      </c>
      <c r="AA41" s="103">
        <f t="shared" si="5"/>
        <v>18</v>
      </c>
      <c r="AB41" s="100">
        <f t="shared" si="5"/>
        <v>28809900</v>
      </c>
      <c r="AC41" s="101">
        <f t="shared" si="3"/>
        <v>1.5</v>
      </c>
      <c r="AD41" s="101">
        <f t="shared" si="3"/>
        <v>0.84735000000000005</v>
      </c>
      <c r="AE41" s="109" t="s">
        <v>47</v>
      </c>
    </row>
    <row r="42" spans="1:31" ht="157.5" x14ac:dyDescent="0.25">
      <c r="A42" s="87">
        <v>5</v>
      </c>
      <c r="B42" s="88" t="s">
        <v>34</v>
      </c>
      <c r="C42" s="87" t="s">
        <v>36</v>
      </c>
      <c r="D42" s="87" t="s">
        <v>86</v>
      </c>
      <c r="E42" s="89" t="s">
        <v>99</v>
      </c>
      <c r="F42" s="90" t="s">
        <v>100</v>
      </c>
      <c r="G42" s="91" t="s">
        <v>101</v>
      </c>
      <c r="H42" s="92" t="s">
        <v>85</v>
      </c>
      <c r="I42" s="131">
        <v>24</v>
      </c>
      <c r="J42" s="96">
        <v>549000000</v>
      </c>
      <c r="K42" s="131">
        <v>24</v>
      </c>
      <c r="L42" s="113">
        <v>381490402</v>
      </c>
      <c r="M42" s="131">
        <v>18</v>
      </c>
      <c r="N42" s="113">
        <v>147057000</v>
      </c>
      <c r="O42" s="133">
        <v>4</v>
      </c>
      <c r="P42" s="96">
        <v>4869250</v>
      </c>
      <c r="Q42" s="133">
        <v>4</v>
      </c>
      <c r="R42" s="96">
        <v>37521213</v>
      </c>
      <c r="S42" s="133"/>
      <c r="T42" s="96"/>
      <c r="U42" s="133"/>
      <c r="V42" s="96"/>
      <c r="W42" s="99">
        <f>O42+Q42+S42+U42</f>
        <v>8</v>
      </c>
      <c r="X42" s="100">
        <f t="shared" si="7"/>
        <v>42390463</v>
      </c>
      <c r="Y42" s="101">
        <f>W42/M42*100%</f>
        <v>0.44444444444444442</v>
      </c>
      <c r="Z42" s="102">
        <f>X42/N42*100%</f>
        <v>0.28825872280816284</v>
      </c>
      <c r="AA42" s="103">
        <f t="shared" si="5"/>
        <v>32</v>
      </c>
      <c r="AB42" s="100">
        <f t="shared" si="5"/>
        <v>423880865</v>
      </c>
      <c r="AC42" s="101">
        <f t="shared" si="3"/>
        <v>1.3333333333333333</v>
      </c>
      <c r="AD42" s="101">
        <f t="shared" si="3"/>
        <v>0.77209629326047358</v>
      </c>
      <c r="AE42" s="109" t="s">
        <v>47</v>
      </c>
    </row>
    <row r="43" spans="1:31" ht="126" x14ac:dyDescent="0.25">
      <c r="A43" s="87">
        <v>5</v>
      </c>
      <c r="B43" s="88" t="s">
        <v>34</v>
      </c>
      <c r="C43" s="88" t="s">
        <v>36</v>
      </c>
      <c r="D43" s="87" t="s">
        <v>86</v>
      </c>
      <c r="E43" s="89">
        <v>10</v>
      </c>
      <c r="F43" s="90" t="s">
        <v>102</v>
      </c>
      <c r="G43" s="91" t="s">
        <v>103</v>
      </c>
      <c r="H43" s="92" t="s">
        <v>46</v>
      </c>
      <c r="I43" s="96">
        <v>1</v>
      </c>
      <c r="J43" s="96">
        <v>23000000</v>
      </c>
      <c r="K43" s="96">
        <v>1</v>
      </c>
      <c r="L43" s="113">
        <v>9999450</v>
      </c>
      <c r="M43" s="96">
        <v>0</v>
      </c>
      <c r="N43" s="113">
        <v>0</v>
      </c>
      <c r="O43" s="77">
        <v>0</v>
      </c>
      <c r="P43" s="77">
        <v>0</v>
      </c>
      <c r="Q43" s="77">
        <v>0</v>
      </c>
      <c r="R43" s="77">
        <v>0</v>
      </c>
      <c r="S43" s="96"/>
      <c r="T43" s="96"/>
      <c r="U43" s="96"/>
      <c r="V43" s="96"/>
      <c r="W43" s="99">
        <f>O43+Q43+S43+U43</f>
        <v>0</v>
      </c>
      <c r="X43" s="100">
        <f t="shared" si="7"/>
        <v>0</v>
      </c>
      <c r="Y43" s="101">
        <v>0</v>
      </c>
      <c r="Z43" s="102">
        <v>0</v>
      </c>
      <c r="AA43" s="103">
        <f t="shared" si="5"/>
        <v>1</v>
      </c>
      <c r="AB43" s="100">
        <f t="shared" si="5"/>
        <v>9999450</v>
      </c>
      <c r="AC43" s="101">
        <f t="shared" si="3"/>
        <v>1</v>
      </c>
      <c r="AD43" s="101">
        <f t="shared" si="3"/>
        <v>0.4347586956521739</v>
      </c>
      <c r="AE43" s="109" t="s">
        <v>47</v>
      </c>
    </row>
    <row r="44" spans="1:31" ht="204.75" x14ac:dyDescent="0.25">
      <c r="A44" s="73">
        <v>5</v>
      </c>
      <c r="B44" s="74" t="s">
        <v>34</v>
      </c>
      <c r="C44" s="73" t="s">
        <v>36</v>
      </c>
      <c r="D44" s="73" t="s">
        <v>104</v>
      </c>
      <c r="E44" s="112"/>
      <c r="F44" s="75" t="s">
        <v>105</v>
      </c>
      <c r="G44" s="134" t="s">
        <v>106</v>
      </c>
      <c r="H44" s="76" t="s">
        <v>43</v>
      </c>
      <c r="I44" s="77">
        <v>100</v>
      </c>
      <c r="J44" s="79">
        <f>SUM(J45:J49)</f>
        <v>841700000</v>
      </c>
      <c r="K44" s="77">
        <v>100</v>
      </c>
      <c r="L44" s="79">
        <f>SUM(L47:L49)</f>
        <v>128600140</v>
      </c>
      <c r="M44" s="77">
        <v>100</v>
      </c>
      <c r="N44" s="78">
        <f>N47+N48+N49</f>
        <v>7672325</v>
      </c>
      <c r="O44" s="77">
        <v>25</v>
      </c>
      <c r="P44" s="78">
        <f>P47+P48+P49</f>
        <v>2015000</v>
      </c>
      <c r="Q44" s="77">
        <v>25</v>
      </c>
      <c r="R44" s="79">
        <f>SUM(R47:R49)</f>
        <v>575000</v>
      </c>
      <c r="S44" s="126"/>
      <c r="T44" s="79">
        <f>SUM(T47:T49)</f>
        <v>0</v>
      </c>
      <c r="U44" s="77">
        <v>0</v>
      </c>
      <c r="V44" s="79">
        <f>SUM(V47:V49)</f>
        <v>0</v>
      </c>
      <c r="W44" s="77">
        <f>O44+Q44+S44+U44</f>
        <v>50</v>
      </c>
      <c r="X44" s="79">
        <f>SUM(X47:X49)</f>
        <v>2590000</v>
      </c>
      <c r="Y44" s="82">
        <f t="shared" ref="Y44" si="9">W44/M44*100%</f>
        <v>0.5</v>
      </c>
      <c r="Z44" s="83">
        <f>X44/N44*100%</f>
        <v>0.33757694049717651</v>
      </c>
      <c r="AA44" s="84">
        <f t="shared" si="5"/>
        <v>150</v>
      </c>
      <c r="AB44" s="79">
        <f>SUM(AB45:AB49)</f>
        <v>131190140</v>
      </c>
      <c r="AC44" s="82">
        <f t="shared" si="3"/>
        <v>1.5</v>
      </c>
      <c r="AD44" s="82">
        <f t="shared" si="3"/>
        <v>0.15586330046334798</v>
      </c>
      <c r="AE44" s="122"/>
    </row>
    <row r="45" spans="1:31" ht="204.75" x14ac:dyDescent="0.25">
      <c r="A45" s="114">
        <v>5</v>
      </c>
      <c r="B45" s="135" t="s">
        <v>34</v>
      </c>
      <c r="C45" s="135" t="s">
        <v>36</v>
      </c>
      <c r="D45" s="135" t="s">
        <v>104</v>
      </c>
      <c r="E45" s="135" t="s">
        <v>36</v>
      </c>
      <c r="F45" s="136" t="s">
        <v>107</v>
      </c>
      <c r="G45" s="137" t="s">
        <v>108</v>
      </c>
      <c r="H45" s="92" t="s">
        <v>109</v>
      </c>
      <c r="I45" s="96">
        <v>1</v>
      </c>
      <c r="J45" s="138">
        <v>400000000</v>
      </c>
      <c r="K45" s="77"/>
      <c r="L45" s="78"/>
      <c r="M45" s="77">
        <v>0</v>
      </c>
      <c r="N45" s="78">
        <v>0</v>
      </c>
      <c r="O45" s="78">
        <v>0</v>
      </c>
      <c r="P45" s="139">
        <v>0</v>
      </c>
      <c r="Q45" s="139">
        <v>0</v>
      </c>
      <c r="R45" s="139">
        <v>0</v>
      </c>
      <c r="S45" s="126"/>
      <c r="T45" s="79"/>
      <c r="U45" s="126"/>
      <c r="V45" s="79"/>
      <c r="W45" s="99">
        <f t="shared" ref="W45:X49" si="10">O45+Q45+S45+U45</f>
        <v>0</v>
      </c>
      <c r="X45" s="79">
        <v>0</v>
      </c>
      <c r="Y45" s="101">
        <v>0</v>
      </c>
      <c r="Z45" s="102">
        <v>0</v>
      </c>
      <c r="AA45" s="103">
        <f t="shared" si="5"/>
        <v>0</v>
      </c>
      <c r="AB45" s="100">
        <f t="shared" si="5"/>
        <v>0</v>
      </c>
      <c r="AC45" s="101">
        <f t="shared" si="3"/>
        <v>0</v>
      </c>
      <c r="AD45" s="101">
        <f t="shared" si="3"/>
        <v>0</v>
      </c>
      <c r="AE45" s="126"/>
    </row>
    <row r="46" spans="1:31" ht="157.5" x14ac:dyDescent="0.25">
      <c r="A46" s="114">
        <v>5</v>
      </c>
      <c r="B46" s="135" t="s">
        <v>34</v>
      </c>
      <c r="C46" s="135" t="s">
        <v>36</v>
      </c>
      <c r="D46" s="135" t="s">
        <v>104</v>
      </c>
      <c r="E46" s="135" t="s">
        <v>79</v>
      </c>
      <c r="F46" s="136" t="s">
        <v>110</v>
      </c>
      <c r="G46" s="137" t="s">
        <v>111</v>
      </c>
      <c r="H46" s="92" t="s">
        <v>109</v>
      </c>
      <c r="I46" s="96">
        <v>1</v>
      </c>
      <c r="J46" s="138">
        <v>41000000</v>
      </c>
      <c r="K46" s="77"/>
      <c r="L46" s="78"/>
      <c r="M46" s="77">
        <v>0</v>
      </c>
      <c r="N46" s="78">
        <v>0</v>
      </c>
      <c r="O46" s="78">
        <v>0</v>
      </c>
      <c r="P46" s="139">
        <v>0</v>
      </c>
      <c r="Q46" s="139">
        <v>0</v>
      </c>
      <c r="R46" s="139">
        <v>0</v>
      </c>
      <c r="S46" s="126"/>
      <c r="T46" s="79"/>
      <c r="U46" s="126"/>
      <c r="V46" s="79"/>
      <c r="W46" s="99">
        <f t="shared" si="10"/>
        <v>0</v>
      </c>
      <c r="X46" s="79">
        <v>0</v>
      </c>
      <c r="Y46" s="101">
        <v>0</v>
      </c>
      <c r="Z46" s="102">
        <v>0</v>
      </c>
      <c r="AA46" s="103">
        <f t="shared" si="5"/>
        <v>0</v>
      </c>
      <c r="AB46" s="100">
        <f>L46+X46</f>
        <v>0</v>
      </c>
      <c r="AC46" s="101">
        <f t="shared" si="3"/>
        <v>0</v>
      </c>
      <c r="AD46" s="101">
        <f t="shared" si="3"/>
        <v>0</v>
      </c>
      <c r="AE46" s="126"/>
    </row>
    <row r="47" spans="1:31" ht="94.5" x14ac:dyDescent="0.25">
      <c r="A47" s="87">
        <v>5</v>
      </c>
      <c r="B47" s="88" t="s">
        <v>34</v>
      </c>
      <c r="C47" s="88" t="s">
        <v>36</v>
      </c>
      <c r="D47" s="87" t="s">
        <v>104</v>
      </c>
      <c r="E47" s="89">
        <v>5</v>
      </c>
      <c r="F47" s="90" t="s">
        <v>112</v>
      </c>
      <c r="G47" s="140" t="s">
        <v>113</v>
      </c>
      <c r="H47" s="92" t="s">
        <v>114</v>
      </c>
      <c r="I47" s="96">
        <v>2</v>
      </c>
      <c r="J47" s="96">
        <v>26000000</v>
      </c>
      <c r="K47" s="98">
        <v>0</v>
      </c>
      <c r="L47" s="98">
        <v>0</v>
      </c>
      <c r="M47" s="98">
        <v>0</v>
      </c>
      <c r="N47" s="98">
        <v>0</v>
      </c>
      <c r="O47" s="77">
        <v>0</v>
      </c>
      <c r="P47" s="141">
        <v>0</v>
      </c>
      <c r="Q47" s="77">
        <v>0</v>
      </c>
      <c r="R47" s="77">
        <v>0</v>
      </c>
      <c r="S47" s="77">
        <v>0</v>
      </c>
      <c r="T47" s="77">
        <v>0</v>
      </c>
      <c r="U47" s="77">
        <v>0</v>
      </c>
      <c r="V47" s="96">
        <v>0</v>
      </c>
      <c r="W47" s="96">
        <v>0</v>
      </c>
      <c r="X47" s="100">
        <f t="shared" si="10"/>
        <v>0</v>
      </c>
      <c r="Y47" s="101">
        <v>0</v>
      </c>
      <c r="Z47" s="102">
        <v>0</v>
      </c>
      <c r="AA47" s="103">
        <f t="shared" si="5"/>
        <v>0</v>
      </c>
      <c r="AB47" s="100">
        <f t="shared" si="5"/>
        <v>0</v>
      </c>
      <c r="AC47" s="101">
        <f t="shared" si="3"/>
        <v>0</v>
      </c>
      <c r="AD47" s="101">
        <f t="shared" si="3"/>
        <v>0</v>
      </c>
      <c r="AE47" s="109" t="s">
        <v>47</v>
      </c>
    </row>
    <row r="48" spans="1:31" ht="220.5" x14ac:dyDescent="0.25">
      <c r="A48" s="87">
        <v>5</v>
      </c>
      <c r="B48" s="88" t="s">
        <v>34</v>
      </c>
      <c r="C48" s="87" t="s">
        <v>36</v>
      </c>
      <c r="D48" s="87" t="s">
        <v>104</v>
      </c>
      <c r="E48" s="89" t="s">
        <v>115</v>
      </c>
      <c r="F48" s="90" t="s">
        <v>116</v>
      </c>
      <c r="G48" s="140" t="s">
        <v>117</v>
      </c>
      <c r="H48" s="92" t="s">
        <v>109</v>
      </c>
      <c r="I48" s="96">
        <v>6</v>
      </c>
      <c r="J48" s="96">
        <v>347000000</v>
      </c>
      <c r="K48" s="96">
        <v>8</v>
      </c>
      <c r="L48" s="113">
        <v>111548340</v>
      </c>
      <c r="M48" s="142">
        <v>0</v>
      </c>
      <c r="N48" s="113">
        <v>0</v>
      </c>
      <c r="O48" s="77"/>
      <c r="P48" s="141">
        <v>0</v>
      </c>
      <c r="Q48" s="96">
        <v>0</v>
      </c>
      <c r="R48" s="96">
        <v>0</v>
      </c>
      <c r="S48" s="77"/>
      <c r="T48" s="96"/>
      <c r="U48" s="96"/>
      <c r="V48" s="96"/>
      <c r="W48" s="99">
        <f t="shared" si="10"/>
        <v>0</v>
      </c>
      <c r="X48" s="100">
        <f t="shared" si="10"/>
        <v>0</v>
      </c>
      <c r="Y48" s="101">
        <v>0</v>
      </c>
      <c r="Z48" s="102">
        <v>0</v>
      </c>
      <c r="AA48" s="103">
        <f t="shared" si="5"/>
        <v>8</v>
      </c>
      <c r="AB48" s="100">
        <f t="shared" si="5"/>
        <v>111548340</v>
      </c>
      <c r="AC48" s="101">
        <f t="shared" si="3"/>
        <v>1.3333333333333333</v>
      </c>
      <c r="AD48" s="101">
        <f t="shared" si="3"/>
        <v>0.32146495677233428</v>
      </c>
      <c r="AE48" s="109" t="s">
        <v>47</v>
      </c>
    </row>
    <row r="49" spans="1:31" ht="252" x14ac:dyDescent="0.25">
      <c r="A49" s="87">
        <v>5</v>
      </c>
      <c r="B49" s="88" t="s">
        <v>34</v>
      </c>
      <c r="C49" s="87" t="s">
        <v>36</v>
      </c>
      <c r="D49" s="87" t="s">
        <v>104</v>
      </c>
      <c r="E49" s="89" t="s">
        <v>118</v>
      </c>
      <c r="F49" s="90" t="s">
        <v>119</v>
      </c>
      <c r="G49" s="140" t="s">
        <v>120</v>
      </c>
      <c r="H49" s="92" t="s">
        <v>114</v>
      </c>
      <c r="I49" s="96">
        <v>1</v>
      </c>
      <c r="J49" s="96">
        <v>27700000</v>
      </c>
      <c r="K49" s="96">
        <v>1</v>
      </c>
      <c r="L49" s="113">
        <v>17051800</v>
      </c>
      <c r="M49" s="96">
        <v>1</v>
      </c>
      <c r="N49" s="143">
        <v>7672325</v>
      </c>
      <c r="O49" s="96">
        <v>0</v>
      </c>
      <c r="P49" s="96">
        <v>2015000</v>
      </c>
      <c r="Q49" s="96">
        <v>0</v>
      </c>
      <c r="R49" s="96">
        <v>575000</v>
      </c>
      <c r="S49" s="96"/>
      <c r="T49" s="96"/>
      <c r="U49" s="96"/>
      <c r="V49" s="96"/>
      <c r="W49" s="99">
        <f t="shared" si="10"/>
        <v>0</v>
      </c>
      <c r="X49" s="100">
        <f t="shared" si="10"/>
        <v>2590000</v>
      </c>
      <c r="Y49" s="101">
        <f t="shared" ref="Y49:Z53" si="11">W49/M49*100%</f>
        <v>0</v>
      </c>
      <c r="Z49" s="102">
        <f t="shared" si="11"/>
        <v>0.33757694049717651</v>
      </c>
      <c r="AA49" s="103">
        <f t="shared" si="5"/>
        <v>1</v>
      </c>
      <c r="AB49" s="100">
        <f t="shared" si="5"/>
        <v>19641800</v>
      </c>
      <c r="AC49" s="101">
        <f t="shared" si="3"/>
        <v>1</v>
      </c>
      <c r="AD49" s="101">
        <f t="shared" si="3"/>
        <v>0.70909025270758119</v>
      </c>
      <c r="AE49" s="109" t="s">
        <v>47</v>
      </c>
    </row>
    <row r="50" spans="1:31" ht="141.75" x14ac:dyDescent="0.25">
      <c r="A50" s="73">
        <v>5</v>
      </c>
      <c r="B50" s="74" t="s">
        <v>34</v>
      </c>
      <c r="C50" s="73" t="s">
        <v>36</v>
      </c>
      <c r="D50" s="73" t="s">
        <v>121</v>
      </c>
      <c r="E50" s="112"/>
      <c r="F50" s="75" t="s">
        <v>122</v>
      </c>
      <c r="G50" s="134" t="s">
        <v>123</v>
      </c>
      <c r="H50" s="76" t="s">
        <v>43</v>
      </c>
      <c r="I50" s="77">
        <v>100</v>
      </c>
      <c r="J50" s="79">
        <f>SUM(J51:J53)</f>
        <v>814300000</v>
      </c>
      <c r="K50" s="77">
        <v>100</v>
      </c>
      <c r="L50" s="79">
        <f>SUM(L51:L53)</f>
        <v>592246100</v>
      </c>
      <c r="M50" s="77">
        <v>100</v>
      </c>
      <c r="N50" s="78">
        <f>SUM(N51:N53)</f>
        <v>578891350</v>
      </c>
      <c r="O50" s="77">
        <v>25</v>
      </c>
      <c r="P50" s="78">
        <f>SUM(P51:P53)</f>
        <v>34433893</v>
      </c>
      <c r="Q50" s="77">
        <v>25</v>
      </c>
      <c r="R50" s="79">
        <f>SUM(R51:R53)</f>
        <v>169460141</v>
      </c>
      <c r="S50" s="126"/>
      <c r="T50" s="79">
        <f>SUM(T51:T53)</f>
        <v>0</v>
      </c>
      <c r="U50" s="77">
        <v>0</v>
      </c>
      <c r="V50" s="79">
        <f>SUM(V51:V53)</f>
        <v>0</v>
      </c>
      <c r="W50" s="77">
        <f>O50+Q50+S50+U50</f>
        <v>50</v>
      </c>
      <c r="X50" s="79">
        <f>SUM(X51:X53)</f>
        <v>203894034</v>
      </c>
      <c r="Y50" s="101">
        <f t="shared" si="11"/>
        <v>0.5</v>
      </c>
      <c r="Z50" s="83">
        <f>X50/N50*100%</f>
        <v>0.35221468415446178</v>
      </c>
      <c r="AA50" s="84">
        <f t="shared" si="5"/>
        <v>150</v>
      </c>
      <c r="AB50" s="79">
        <f>SUM(AB51:AB53)</f>
        <v>796140134</v>
      </c>
      <c r="AC50" s="82">
        <f t="shared" si="3"/>
        <v>1.5</v>
      </c>
      <c r="AD50" s="82">
        <f t="shared" si="3"/>
        <v>0.97769880142453636</v>
      </c>
      <c r="AE50" s="126"/>
    </row>
    <row r="51" spans="1:31" ht="94.5" x14ac:dyDescent="0.25">
      <c r="A51" s="87">
        <v>5</v>
      </c>
      <c r="B51" s="88" t="s">
        <v>34</v>
      </c>
      <c r="C51" s="88" t="s">
        <v>36</v>
      </c>
      <c r="D51" s="87" t="s">
        <v>121</v>
      </c>
      <c r="E51" s="89">
        <v>1</v>
      </c>
      <c r="F51" s="90" t="s">
        <v>124</v>
      </c>
      <c r="G51" s="91" t="s">
        <v>125</v>
      </c>
      <c r="H51" s="92" t="s">
        <v>85</v>
      </c>
      <c r="I51" s="144">
        <v>1</v>
      </c>
      <c r="J51" s="96">
        <v>17300000</v>
      </c>
      <c r="K51" s="145">
        <v>1</v>
      </c>
      <c r="L51" s="113">
        <v>11900000</v>
      </c>
      <c r="M51" s="145">
        <v>1</v>
      </c>
      <c r="N51" s="113">
        <v>4992200</v>
      </c>
      <c r="O51" s="96">
        <v>0</v>
      </c>
      <c r="P51" s="96">
        <v>800000</v>
      </c>
      <c r="Q51" s="96">
        <v>0</v>
      </c>
      <c r="R51" s="96">
        <v>1600000</v>
      </c>
      <c r="S51" s="96"/>
      <c r="T51" s="96"/>
      <c r="U51" s="145"/>
      <c r="V51" s="96"/>
      <c r="W51" s="96">
        <v>0</v>
      </c>
      <c r="X51" s="100">
        <f t="shared" ref="W51:X52" si="12">P51+R51+T51+V51</f>
        <v>2400000</v>
      </c>
      <c r="Y51" s="101">
        <f t="shared" si="11"/>
        <v>0</v>
      </c>
      <c r="Z51" s="102">
        <f t="shared" si="11"/>
        <v>0.48074996995312685</v>
      </c>
      <c r="AA51" s="103">
        <f t="shared" si="5"/>
        <v>1</v>
      </c>
      <c r="AB51" s="100">
        <f t="shared" si="5"/>
        <v>14300000</v>
      </c>
      <c r="AC51" s="101">
        <f t="shared" si="3"/>
        <v>1</v>
      </c>
      <c r="AD51" s="101">
        <f t="shared" si="3"/>
        <v>0.82658959537572252</v>
      </c>
      <c r="AE51" s="109" t="s">
        <v>47</v>
      </c>
    </row>
    <row r="52" spans="1:31" ht="236.25" x14ac:dyDescent="0.25">
      <c r="A52" s="87">
        <v>5</v>
      </c>
      <c r="B52" s="88" t="s">
        <v>34</v>
      </c>
      <c r="C52" s="87" t="s">
        <v>36</v>
      </c>
      <c r="D52" s="87" t="s">
        <v>121</v>
      </c>
      <c r="E52" s="89" t="s">
        <v>79</v>
      </c>
      <c r="F52" s="90" t="s">
        <v>126</v>
      </c>
      <c r="G52" s="91" t="s">
        <v>127</v>
      </c>
      <c r="H52" s="92" t="s">
        <v>85</v>
      </c>
      <c r="I52" s="146">
        <v>12</v>
      </c>
      <c r="J52" s="96">
        <v>219000000</v>
      </c>
      <c r="K52" s="146">
        <v>12</v>
      </c>
      <c r="L52" s="113">
        <v>123640950</v>
      </c>
      <c r="M52" s="146">
        <v>12</v>
      </c>
      <c r="N52" s="113">
        <v>129342000</v>
      </c>
      <c r="O52" s="96">
        <v>3</v>
      </c>
      <c r="P52" s="96">
        <v>27662243</v>
      </c>
      <c r="Q52" s="96">
        <v>3</v>
      </c>
      <c r="R52" s="96">
        <v>23960141</v>
      </c>
      <c r="S52" s="96"/>
      <c r="T52" s="96"/>
      <c r="U52" s="96"/>
      <c r="V52" s="96"/>
      <c r="W52" s="116">
        <f t="shared" si="12"/>
        <v>6</v>
      </c>
      <c r="X52" s="100">
        <f t="shared" si="12"/>
        <v>51622384</v>
      </c>
      <c r="Y52" s="101">
        <f>W52/M52</f>
        <v>0.5</v>
      </c>
      <c r="Z52" s="102">
        <f t="shared" si="11"/>
        <v>0.39911539948353975</v>
      </c>
      <c r="AA52" s="103">
        <f t="shared" si="5"/>
        <v>18</v>
      </c>
      <c r="AB52" s="100">
        <f t="shared" si="5"/>
        <v>175263334</v>
      </c>
      <c r="AC52" s="101">
        <f t="shared" ref="AC52:AD96" si="13">(AA52/I52)*100%</f>
        <v>1.5</v>
      </c>
      <c r="AD52" s="101">
        <f t="shared" si="13"/>
        <v>0.80028919634703199</v>
      </c>
      <c r="AE52" s="109" t="s">
        <v>47</v>
      </c>
    </row>
    <row r="53" spans="1:31" ht="141.75" x14ac:dyDescent="0.25">
      <c r="A53" s="87">
        <v>5</v>
      </c>
      <c r="B53" s="88" t="s">
        <v>34</v>
      </c>
      <c r="C53" s="88" t="s">
        <v>36</v>
      </c>
      <c r="D53" s="87" t="s">
        <v>121</v>
      </c>
      <c r="E53" s="89">
        <v>4</v>
      </c>
      <c r="F53" s="90" t="s">
        <v>128</v>
      </c>
      <c r="G53" s="91" t="s">
        <v>129</v>
      </c>
      <c r="H53" s="92" t="s">
        <v>85</v>
      </c>
      <c r="I53" s="96">
        <v>2</v>
      </c>
      <c r="J53" s="96">
        <v>578000000</v>
      </c>
      <c r="K53" s="129">
        <v>2</v>
      </c>
      <c r="L53" s="113">
        <v>456705150</v>
      </c>
      <c r="M53" s="129">
        <v>2</v>
      </c>
      <c r="N53" s="113">
        <v>444557150</v>
      </c>
      <c r="O53" s="96">
        <v>0</v>
      </c>
      <c r="P53" s="96">
        <v>5971650</v>
      </c>
      <c r="Q53" s="96">
        <v>0</v>
      </c>
      <c r="R53" s="96">
        <v>143900000</v>
      </c>
      <c r="S53" s="96"/>
      <c r="T53" s="96"/>
      <c r="U53" s="96"/>
      <c r="V53" s="96"/>
      <c r="W53" s="96">
        <v>0</v>
      </c>
      <c r="X53" s="100">
        <f>P53+R53+T53+V53</f>
        <v>149871650</v>
      </c>
      <c r="Y53" s="101">
        <f>W53/M53</f>
        <v>0</v>
      </c>
      <c r="Z53" s="102">
        <f t="shared" si="11"/>
        <v>0.33712572163106586</v>
      </c>
      <c r="AA53" s="103">
        <f t="shared" si="5"/>
        <v>2</v>
      </c>
      <c r="AB53" s="100">
        <f t="shared" si="5"/>
        <v>606576800</v>
      </c>
      <c r="AC53" s="101">
        <f t="shared" si="13"/>
        <v>1</v>
      </c>
      <c r="AD53" s="101">
        <f t="shared" si="13"/>
        <v>1.0494408304498271</v>
      </c>
      <c r="AE53" s="109" t="s">
        <v>47</v>
      </c>
    </row>
    <row r="54" spans="1:31" ht="204.75" x14ac:dyDescent="0.25">
      <c r="A54" s="73">
        <v>5</v>
      </c>
      <c r="B54" s="74" t="s">
        <v>34</v>
      </c>
      <c r="C54" s="73" t="s">
        <v>36</v>
      </c>
      <c r="D54" s="73" t="s">
        <v>130</v>
      </c>
      <c r="E54" s="112"/>
      <c r="F54" s="75" t="s">
        <v>131</v>
      </c>
      <c r="G54" s="134" t="s">
        <v>132</v>
      </c>
      <c r="H54" s="76" t="s">
        <v>43</v>
      </c>
      <c r="I54" s="128">
        <v>100</v>
      </c>
      <c r="J54" s="79">
        <f>SUM(J55:J60)</f>
        <v>651825500</v>
      </c>
      <c r="K54" s="128">
        <v>100</v>
      </c>
      <c r="L54" s="79">
        <f>SUM(L55:L60)</f>
        <v>267032238</v>
      </c>
      <c r="M54" s="128">
        <v>100</v>
      </c>
      <c r="N54" s="78">
        <f>SUM(N55:N59)</f>
        <v>119850000</v>
      </c>
      <c r="O54" s="128">
        <v>25</v>
      </c>
      <c r="P54" s="78">
        <f>SUM(P55:P59)</f>
        <v>22924785</v>
      </c>
      <c r="Q54" s="128">
        <v>25</v>
      </c>
      <c r="R54" s="79">
        <f>SUM(R55:R60)</f>
        <v>21383060</v>
      </c>
      <c r="S54" s="126"/>
      <c r="T54" s="79">
        <f>SUM(T55:T60)</f>
        <v>0</v>
      </c>
      <c r="U54" s="128">
        <v>0</v>
      </c>
      <c r="V54" s="79">
        <f>SUM(V55:V60)</f>
        <v>0</v>
      </c>
      <c r="W54" s="128">
        <f>O54+Q54+S54+U54</f>
        <v>50</v>
      </c>
      <c r="X54" s="79">
        <f>SUM(X55:X60)</f>
        <v>44307845</v>
      </c>
      <c r="Y54" s="82">
        <f t="shared" ref="Y54" si="14">W54/M54*100%</f>
        <v>0.5</v>
      </c>
      <c r="Z54" s="83">
        <f>X54/N54*100%</f>
        <v>0.36969415936587402</v>
      </c>
      <c r="AA54" s="84">
        <f t="shared" si="5"/>
        <v>150</v>
      </c>
      <c r="AB54" s="79">
        <f>SUM(AB55:AB60)</f>
        <v>311340083</v>
      </c>
      <c r="AC54" s="82">
        <f t="shared" si="13"/>
        <v>1.5</v>
      </c>
      <c r="AD54" s="82">
        <f t="shared" si="13"/>
        <v>0.47764330023909773</v>
      </c>
      <c r="AE54" s="126"/>
    </row>
    <row r="55" spans="1:31" ht="299.25" x14ac:dyDescent="0.25">
      <c r="A55" s="87">
        <v>5</v>
      </c>
      <c r="B55" s="88" t="s">
        <v>34</v>
      </c>
      <c r="C55" s="87" t="s">
        <v>36</v>
      </c>
      <c r="D55" s="87" t="s">
        <v>130</v>
      </c>
      <c r="E55" s="89" t="s">
        <v>36</v>
      </c>
      <c r="F55" s="90" t="s">
        <v>133</v>
      </c>
      <c r="G55" s="91" t="s">
        <v>134</v>
      </c>
      <c r="H55" s="92" t="s">
        <v>109</v>
      </c>
      <c r="I55" s="147">
        <v>1</v>
      </c>
      <c r="J55" s="96">
        <v>81000000</v>
      </c>
      <c r="K55" s="146">
        <v>1</v>
      </c>
      <c r="L55" s="113">
        <v>36670195</v>
      </c>
      <c r="M55" s="146">
        <v>1</v>
      </c>
      <c r="N55" s="113">
        <v>26470000</v>
      </c>
      <c r="O55" s="96">
        <v>0</v>
      </c>
      <c r="P55" s="96">
        <v>6171714</v>
      </c>
      <c r="Q55" s="96">
        <v>0</v>
      </c>
      <c r="R55" s="96">
        <v>2831563</v>
      </c>
      <c r="S55" s="96"/>
      <c r="T55" s="96"/>
      <c r="U55" s="96"/>
      <c r="V55" s="96"/>
      <c r="W55" s="148">
        <f t="shared" ref="W55:X57" si="15">O55+Q55+S55+U55</f>
        <v>0</v>
      </c>
      <c r="X55" s="100">
        <f t="shared" si="15"/>
        <v>9003277</v>
      </c>
      <c r="Y55" s="101">
        <f>W55/M55</f>
        <v>0</v>
      </c>
      <c r="Z55" s="102">
        <f t="shared" ref="Z55:Z56" si="16">X55/N55*100%</f>
        <v>0.34013135625236118</v>
      </c>
      <c r="AA55" s="103">
        <f t="shared" si="5"/>
        <v>1</v>
      </c>
      <c r="AB55" s="100">
        <f t="shared" si="5"/>
        <v>45673472</v>
      </c>
      <c r="AC55" s="101">
        <f t="shared" si="13"/>
        <v>1</v>
      </c>
      <c r="AD55" s="101">
        <f t="shared" si="13"/>
        <v>0.56387002469135805</v>
      </c>
      <c r="AE55" s="109" t="s">
        <v>47</v>
      </c>
    </row>
    <row r="56" spans="1:31" ht="283.5" x14ac:dyDescent="0.25">
      <c r="A56" s="87">
        <v>5</v>
      </c>
      <c r="B56" s="88" t="s">
        <v>34</v>
      </c>
      <c r="C56" s="87" t="s">
        <v>36</v>
      </c>
      <c r="D56" s="87" t="s">
        <v>130</v>
      </c>
      <c r="E56" s="89" t="s">
        <v>79</v>
      </c>
      <c r="F56" s="90" t="s">
        <v>135</v>
      </c>
      <c r="G56" s="91" t="s">
        <v>136</v>
      </c>
      <c r="H56" s="92" t="s">
        <v>109</v>
      </c>
      <c r="I56" s="149">
        <v>14</v>
      </c>
      <c r="J56" s="96">
        <v>289000000</v>
      </c>
      <c r="K56" s="150">
        <v>14</v>
      </c>
      <c r="L56" s="113">
        <v>179047043</v>
      </c>
      <c r="M56" s="150">
        <v>7</v>
      </c>
      <c r="N56" s="113">
        <v>65160000</v>
      </c>
      <c r="O56" s="96">
        <v>0</v>
      </c>
      <c r="P56" s="96">
        <v>11203071</v>
      </c>
      <c r="Q56" s="96">
        <v>0</v>
      </c>
      <c r="R56" s="96">
        <v>14071497</v>
      </c>
      <c r="S56" s="96"/>
      <c r="T56" s="96"/>
      <c r="U56" s="96"/>
      <c r="V56" s="96"/>
      <c r="W56" s="148">
        <f t="shared" si="15"/>
        <v>0</v>
      </c>
      <c r="X56" s="100">
        <f t="shared" si="15"/>
        <v>25274568</v>
      </c>
      <c r="Y56" s="101">
        <f t="shared" ref="Y56:Y58" si="17">W56/M56</f>
        <v>0</v>
      </c>
      <c r="Z56" s="102">
        <f t="shared" si="16"/>
        <v>0.38788471454880297</v>
      </c>
      <c r="AA56" s="103">
        <f>K56+W56</f>
        <v>14</v>
      </c>
      <c r="AB56" s="100">
        <f t="shared" si="5"/>
        <v>204321611</v>
      </c>
      <c r="AC56" s="101">
        <f t="shared" si="13"/>
        <v>1</v>
      </c>
      <c r="AD56" s="101">
        <f t="shared" si="13"/>
        <v>0.70699519377162634</v>
      </c>
      <c r="AE56" s="109" t="s">
        <v>47</v>
      </c>
    </row>
    <row r="57" spans="1:31" ht="78.75" x14ac:dyDescent="0.25">
      <c r="A57" s="87">
        <v>5</v>
      </c>
      <c r="B57" s="88" t="s">
        <v>34</v>
      </c>
      <c r="C57" s="88" t="s">
        <v>36</v>
      </c>
      <c r="D57" s="87" t="s">
        <v>130</v>
      </c>
      <c r="E57" s="89">
        <v>5</v>
      </c>
      <c r="F57" s="90" t="s">
        <v>137</v>
      </c>
      <c r="G57" s="91" t="s">
        <v>138</v>
      </c>
      <c r="H57" s="92" t="s">
        <v>114</v>
      </c>
      <c r="I57" s="151">
        <v>2</v>
      </c>
      <c r="J57" s="96">
        <v>23152500</v>
      </c>
      <c r="K57" s="131">
        <v>0</v>
      </c>
      <c r="L57" s="78">
        <v>0</v>
      </c>
      <c r="M57" s="78">
        <v>0</v>
      </c>
      <c r="N57" s="78">
        <v>0</v>
      </c>
      <c r="O57" s="141">
        <v>0</v>
      </c>
      <c r="P57" s="96">
        <v>0</v>
      </c>
      <c r="Q57" s="77">
        <v>0</v>
      </c>
      <c r="R57" s="96">
        <v>0</v>
      </c>
      <c r="S57" s="77"/>
      <c r="T57" s="96"/>
      <c r="U57" s="77"/>
      <c r="V57" s="96"/>
      <c r="W57" s="77">
        <v>0</v>
      </c>
      <c r="X57" s="100">
        <f t="shared" si="15"/>
        <v>0</v>
      </c>
      <c r="Y57" s="77">
        <v>0</v>
      </c>
      <c r="Z57" s="77">
        <v>0</v>
      </c>
      <c r="AA57" s="103">
        <f t="shared" ref="AA57:AB58" si="18">K57+W57</f>
        <v>0</v>
      </c>
      <c r="AB57" s="100">
        <f t="shared" si="18"/>
        <v>0</v>
      </c>
      <c r="AC57" s="101">
        <f t="shared" si="13"/>
        <v>0</v>
      </c>
      <c r="AD57" s="101">
        <f t="shared" si="13"/>
        <v>0</v>
      </c>
      <c r="AE57" s="109" t="s">
        <v>47</v>
      </c>
    </row>
    <row r="58" spans="1:31" ht="126" x14ac:dyDescent="0.25">
      <c r="A58" s="87">
        <v>5</v>
      </c>
      <c r="B58" s="88" t="s">
        <v>34</v>
      </c>
      <c r="C58" s="88" t="s">
        <v>36</v>
      </c>
      <c r="D58" s="87" t="s">
        <v>130</v>
      </c>
      <c r="E58" s="89">
        <v>6</v>
      </c>
      <c r="F58" s="90" t="s">
        <v>139</v>
      </c>
      <c r="G58" s="91" t="s">
        <v>140</v>
      </c>
      <c r="H58" s="92" t="s">
        <v>109</v>
      </c>
      <c r="I58" s="152">
        <v>6</v>
      </c>
      <c r="J58" s="96">
        <v>86100000</v>
      </c>
      <c r="K58" s="131">
        <v>6</v>
      </c>
      <c r="L58" s="113">
        <v>51315000</v>
      </c>
      <c r="M58" s="131">
        <v>3</v>
      </c>
      <c r="N58" s="113">
        <v>28220000</v>
      </c>
      <c r="O58" s="96"/>
      <c r="P58" s="96">
        <v>5550000</v>
      </c>
      <c r="Q58" s="96">
        <v>1</v>
      </c>
      <c r="R58" s="96">
        <v>4480000</v>
      </c>
      <c r="S58" s="110"/>
      <c r="T58" s="96"/>
      <c r="U58" s="110"/>
      <c r="V58" s="96"/>
      <c r="W58" s="116">
        <f>O58+Q58+S58+U58</f>
        <v>1</v>
      </c>
      <c r="X58" s="100">
        <f>P58+R58+T58+V58</f>
        <v>10030000</v>
      </c>
      <c r="Y58" s="101">
        <f t="shared" si="17"/>
        <v>0.33333333333333331</v>
      </c>
      <c r="Z58" s="102">
        <f t="shared" ref="Z58" si="19">X58/N58*100%</f>
        <v>0.35542168674698793</v>
      </c>
      <c r="AA58" s="103">
        <f t="shared" si="18"/>
        <v>7</v>
      </c>
      <c r="AB58" s="100">
        <f t="shared" si="18"/>
        <v>61345000</v>
      </c>
      <c r="AC58" s="101">
        <f t="shared" si="13"/>
        <v>1.1666666666666667</v>
      </c>
      <c r="AD58" s="101">
        <f t="shared" si="13"/>
        <v>0.71248548199767714</v>
      </c>
      <c r="AE58" s="109" t="s">
        <v>47</v>
      </c>
    </row>
    <row r="59" spans="1:31" ht="157.5" x14ac:dyDescent="0.25">
      <c r="A59" s="87">
        <v>5</v>
      </c>
      <c r="B59" s="88" t="s">
        <v>34</v>
      </c>
      <c r="C59" s="87" t="s">
        <v>36</v>
      </c>
      <c r="D59" s="87" t="s">
        <v>130</v>
      </c>
      <c r="E59" s="89" t="s">
        <v>99</v>
      </c>
      <c r="F59" s="90" t="s">
        <v>141</v>
      </c>
      <c r="G59" s="153" t="s">
        <v>142</v>
      </c>
      <c r="H59" s="92" t="s">
        <v>109</v>
      </c>
      <c r="I59" s="154">
        <v>1</v>
      </c>
      <c r="J59" s="96">
        <v>86000000</v>
      </c>
      <c r="K59" s="155">
        <v>0</v>
      </c>
      <c r="L59" s="78">
        <v>0</v>
      </c>
      <c r="M59" s="155">
        <v>0</v>
      </c>
      <c r="N59" s="78">
        <v>0</v>
      </c>
      <c r="O59" s="141">
        <v>0</v>
      </c>
      <c r="P59" s="141">
        <v>0</v>
      </c>
      <c r="Q59" s="77">
        <v>0</v>
      </c>
      <c r="R59" s="77">
        <v>0</v>
      </c>
      <c r="S59" s="77"/>
      <c r="T59" s="77"/>
      <c r="U59" s="77"/>
      <c r="V59" s="77"/>
      <c r="W59" s="116">
        <f>O59+Q59+S59+U59</f>
        <v>0</v>
      </c>
      <c r="X59" s="100">
        <f t="shared" ref="X59" si="20">P59+R59+T59+V59</f>
        <v>0</v>
      </c>
      <c r="Y59" s="101">
        <v>0</v>
      </c>
      <c r="Z59" s="102">
        <v>0</v>
      </c>
      <c r="AA59" s="103">
        <f t="shared" si="5"/>
        <v>0</v>
      </c>
      <c r="AB59" s="100">
        <f t="shared" si="5"/>
        <v>0</v>
      </c>
      <c r="AC59" s="101">
        <f t="shared" si="13"/>
        <v>0</v>
      </c>
      <c r="AD59" s="101">
        <f t="shared" si="13"/>
        <v>0</v>
      </c>
      <c r="AE59" s="109" t="s">
        <v>47</v>
      </c>
    </row>
    <row r="60" spans="1:31" ht="220.5" x14ac:dyDescent="0.25">
      <c r="A60" s="87">
        <v>5</v>
      </c>
      <c r="B60" s="88" t="s">
        <v>34</v>
      </c>
      <c r="C60" s="87" t="s">
        <v>36</v>
      </c>
      <c r="D60" s="87" t="s">
        <v>130</v>
      </c>
      <c r="E60" s="89" t="s">
        <v>115</v>
      </c>
      <c r="F60" s="137" t="s">
        <v>143</v>
      </c>
      <c r="G60" s="153" t="s">
        <v>144</v>
      </c>
      <c r="H60" s="92" t="s">
        <v>109</v>
      </c>
      <c r="I60" s="156">
        <v>1</v>
      </c>
      <c r="J60" s="96">
        <v>86573000</v>
      </c>
      <c r="K60" s="155">
        <v>0</v>
      </c>
      <c r="L60" s="98">
        <v>0</v>
      </c>
      <c r="M60" s="155">
        <v>0</v>
      </c>
      <c r="N60" s="98">
        <v>0</v>
      </c>
      <c r="O60" s="77">
        <v>0</v>
      </c>
      <c r="P60" s="141">
        <v>0</v>
      </c>
      <c r="Q60" s="77">
        <v>0</v>
      </c>
      <c r="R60" s="77">
        <v>0</v>
      </c>
      <c r="S60" s="77"/>
      <c r="T60" s="77"/>
      <c r="U60" s="77"/>
      <c r="V60" s="96"/>
      <c r="W60" s="116">
        <f t="shared" ref="W60:X60" si="21">O60+Q60+S60+U60</f>
        <v>0</v>
      </c>
      <c r="X60" s="100">
        <f t="shared" si="21"/>
        <v>0</v>
      </c>
      <c r="Y60" s="101">
        <v>0</v>
      </c>
      <c r="Z60" s="102">
        <v>0</v>
      </c>
      <c r="AA60" s="103">
        <f t="shared" ref="AA60:AB60" si="22">K60+W60</f>
        <v>0</v>
      </c>
      <c r="AB60" s="100">
        <f t="shared" si="22"/>
        <v>0</v>
      </c>
      <c r="AC60" s="101">
        <f t="shared" si="13"/>
        <v>0</v>
      </c>
      <c r="AD60" s="101">
        <f t="shared" si="13"/>
        <v>0</v>
      </c>
      <c r="AE60" s="109" t="s">
        <v>47</v>
      </c>
    </row>
    <row r="61" spans="1:31" ht="110.25" x14ac:dyDescent="0.25">
      <c r="A61" s="157">
        <v>5</v>
      </c>
      <c r="B61" s="157"/>
      <c r="C61" s="158"/>
      <c r="D61" s="158"/>
      <c r="E61" s="158"/>
      <c r="F61" s="120" t="s">
        <v>145</v>
      </c>
      <c r="G61" s="91"/>
      <c r="H61" s="92"/>
      <c r="I61" s="77"/>
      <c r="J61" s="77"/>
      <c r="K61" s="131"/>
      <c r="L61" s="78"/>
      <c r="M61" s="131"/>
      <c r="N61" s="78"/>
      <c r="O61" s="126"/>
      <c r="P61" s="159"/>
      <c r="Q61" s="126"/>
      <c r="R61" s="126"/>
      <c r="S61" s="126"/>
      <c r="T61" s="126"/>
      <c r="U61" s="126"/>
      <c r="V61" s="126"/>
      <c r="W61" s="126"/>
      <c r="X61" s="126"/>
      <c r="Y61" s="160"/>
      <c r="Z61" s="126"/>
      <c r="AA61" s="126"/>
      <c r="AB61" s="126"/>
      <c r="AC61" s="101"/>
      <c r="AD61" s="101"/>
      <c r="AE61" s="126"/>
    </row>
    <row r="62" spans="1:31" ht="31.5" x14ac:dyDescent="0.25">
      <c r="A62" s="161">
        <v>5</v>
      </c>
      <c r="B62" s="162" t="s">
        <v>34</v>
      </c>
      <c r="C62" s="163"/>
      <c r="D62" s="163"/>
      <c r="E62" s="163"/>
      <c r="F62" s="163" t="s">
        <v>146</v>
      </c>
      <c r="G62" s="164"/>
      <c r="H62" s="165"/>
      <c r="I62" s="166">
        <v>0</v>
      </c>
      <c r="J62" s="167">
        <f>J63+J71+J76+J82</f>
        <v>3989625000</v>
      </c>
      <c r="K62" s="168"/>
      <c r="L62" s="167">
        <f>L63+L71+L76+L82</f>
        <v>2133827144</v>
      </c>
      <c r="M62" s="168"/>
      <c r="N62" s="167">
        <f>N63+N71+N76+N82</f>
        <v>364134300</v>
      </c>
      <c r="O62" s="169"/>
      <c r="P62" s="167">
        <f>P63+P71+P76+P82</f>
        <v>17244445</v>
      </c>
      <c r="Q62" s="170"/>
      <c r="R62" s="167">
        <f>R63</f>
        <v>193182145</v>
      </c>
      <c r="S62" s="169"/>
      <c r="T62" s="167">
        <f>T63</f>
        <v>0</v>
      </c>
      <c r="U62" s="170"/>
      <c r="V62" s="167">
        <f>V63</f>
        <v>0</v>
      </c>
      <c r="W62" s="169"/>
      <c r="X62" s="167">
        <f>X63</f>
        <v>210426590</v>
      </c>
      <c r="Y62" s="171"/>
      <c r="Z62" s="172">
        <f>X62/N62*100%</f>
        <v>0.57788181448438114</v>
      </c>
      <c r="AA62" s="169"/>
      <c r="AB62" s="173">
        <v>0</v>
      </c>
      <c r="AC62" s="174" t="e">
        <f>(AA62/I62)*100%</f>
        <v>#DIV/0!</v>
      </c>
      <c r="AD62" s="175">
        <f t="shared" si="13"/>
        <v>0</v>
      </c>
      <c r="AE62" s="169"/>
    </row>
    <row r="63" spans="1:31" ht="141.75" x14ac:dyDescent="0.25">
      <c r="A63" s="161">
        <v>5</v>
      </c>
      <c r="B63" s="162" t="s">
        <v>34</v>
      </c>
      <c r="C63" s="162" t="s">
        <v>79</v>
      </c>
      <c r="D63" s="163"/>
      <c r="E63" s="163"/>
      <c r="F63" s="163" t="s">
        <v>147</v>
      </c>
      <c r="G63" s="176" t="s">
        <v>148</v>
      </c>
      <c r="H63" s="177" t="s">
        <v>149</v>
      </c>
      <c r="I63" s="166">
        <v>84.5</v>
      </c>
      <c r="J63" s="167">
        <f>J64</f>
        <v>1358625000</v>
      </c>
      <c r="K63" s="178">
        <v>82.5</v>
      </c>
      <c r="L63" s="167">
        <f>L64</f>
        <v>553153283</v>
      </c>
      <c r="M63" s="178">
        <v>83</v>
      </c>
      <c r="N63" s="167">
        <f>N64</f>
        <v>279285285</v>
      </c>
      <c r="O63" s="179">
        <v>0</v>
      </c>
      <c r="P63" s="180">
        <f>P64</f>
        <v>13126225</v>
      </c>
      <c r="Q63" s="179">
        <v>0</v>
      </c>
      <c r="R63" s="167">
        <f>R64+R72+R77+R83</f>
        <v>193182145</v>
      </c>
      <c r="S63" s="169"/>
      <c r="T63" s="167">
        <f>T64+T72+T77+T83</f>
        <v>0</v>
      </c>
      <c r="U63" s="179">
        <v>0</v>
      </c>
      <c r="V63" s="167">
        <f>V64+V72+V77+V83</f>
        <v>0</v>
      </c>
      <c r="W63" s="179">
        <f>O63+Q63+S63+U63</f>
        <v>0</v>
      </c>
      <c r="X63" s="167">
        <f>X64+X72+X77+X83</f>
        <v>210426590</v>
      </c>
      <c r="Y63" s="175">
        <f>W63/M63*100%</f>
        <v>0</v>
      </c>
      <c r="Z63" s="172">
        <f>X63/N63*100%</f>
        <v>0.75344674890408203</v>
      </c>
      <c r="AA63" s="181">
        <f>K63+W63</f>
        <v>82.5</v>
      </c>
      <c r="AB63" s="167">
        <f>AB64+AB71+AB76+AB82</f>
        <v>2407292349</v>
      </c>
      <c r="AC63" s="175">
        <f>(AA63/I63)*100%</f>
        <v>0.97633136094674555</v>
      </c>
      <c r="AD63" s="175">
        <f t="shared" si="13"/>
        <v>1.7718593055478884</v>
      </c>
      <c r="AE63" s="169"/>
    </row>
    <row r="64" spans="1:31" ht="157.5" x14ac:dyDescent="0.25">
      <c r="A64" s="73">
        <v>5</v>
      </c>
      <c r="B64" s="74" t="s">
        <v>34</v>
      </c>
      <c r="C64" s="74" t="s">
        <v>79</v>
      </c>
      <c r="D64" s="73" t="s">
        <v>40</v>
      </c>
      <c r="E64" s="75"/>
      <c r="F64" s="75" t="s">
        <v>150</v>
      </c>
      <c r="G64" s="182" t="s">
        <v>151</v>
      </c>
      <c r="H64" s="76" t="s">
        <v>43</v>
      </c>
      <c r="I64" s="128">
        <v>100</v>
      </c>
      <c r="J64" s="78">
        <f>SUM(J65:J70)</f>
        <v>1358625000</v>
      </c>
      <c r="K64" s="128">
        <v>100</v>
      </c>
      <c r="L64" s="78">
        <f>SUM(L65:L70)</f>
        <v>553153283</v>
      </c>
      <c r="M64" s="128">
        <v>100</v>
      </c>
      <c r="N64" s="78">
        <f>SUM(N65:N70)</f>
        <v>279285285</v>
      </c>
      <c r="O64" s="128">
        <v>25</v>
      </c>
      <c r="P64" s="78">
        <f>SUM(P65:P70)</f>
        <v>13126225</v>
      </c>
      <c r="Q64" s="128">
        <v>25</v>
      </c>
      <c r="R64" s="79">
        <f>SUM(R65:R70)</f>
        <v>181450000</v>
      </c>
      <c r="S64" s="126"/>
      <c r="T64" s="79">
        <f>SUM(T65:T70)</f>
        <v>0</v>
      </c>
      <c r="U64" s="128">
        <v>0</v>
      </c>
      <c r="V64" s="79">
        <f>SUM(V65:V70)</f>
        <v>0</v>
      </c>
      <c r="W64" s="128">
        <f>O64+Q64+S64+U64</f>
        <v>50</v>
      </c>
      <c r="X64" s="79">
        <f>SUM(X65:X70)</f>
        <v>194576225</v>
      </c>
      <c r="Y64" s="82">
        <f>W64/M64*100%</f>
        <v>0.5</v>
      </c>
      <c r="Z64" s="83">
        <f t="shared" ref="Z64" si="23">X64/N64*100%</f>
        <v>0.69669343660551253</v>
      </c>
      <c r="AA64" s="122"/>
      <c r="AB64" s="79">
        <f>SUM(AB65:AB69)</f>
        <v>747729508</v>
      </c>
      <c r="AC64" s="82">
        <f t="shared" si="13"/>
        <v>0</v>
      </c>
      <c r="AD64" s="82">
        <f t="shared" si="13"/>
        <v>0.55035753647989694</v>
      </c>
      <c r="AE64" s="126"/>
    </row>
    <row r="65" spans="1:31" ht="252" x14ac:dyDescent="0.25">
      <c r="A65" s="87">
        <v>5</v>
      </c>
      <c r="B65" s="88" t="s">
        <v>34</v>
      </c>
      <c r="C65" s="88" t="s">
        <v>79</v>
      </c>
      <c r="D65" s="87" t="s">
        <v>40</v>
      </c>
      <c r="E65" s="88" t="s">
        <v>79</v>
      </c>
      <c r="F65" s="90" t="s">
        <v>152</v>
      </c>
      <c r="G65" s="130" t="s">
        <v>153</v>
      </c>
      <c r="H65" s="92" t="s">
        <v>46</v>
      </c>
      <c r="I65" s="96">
        <v>0</v>
      </c>
      <c r="J65" s="96">
        <v>0</v>
      </c>
      <c r="K65" s="155">
        <v>0</v>
      </c>
      <c r="L65" s="113">
        <v>0</v>
      </c>
      <c r="M65" s="155">
        <v>0</v>
      </c>
      <c r="N65" s="113">
        <v>0</v>
      </c>
      <c r="O65" s="96">
        <v>0</v>
      </c>
      <c r="P65" s="96">
        <v>0</v>
      </c>
      <c r="Q65" s="96">
        <v>0</v>
      </c>
      <c r="R65" s="110">
        <v>0</v>
      </c>
      <c r="S65" s="110">
        <v>0</v>
      </c>
      <c r="T65" s="110">
        <v>0</v>
      </c>
      <c r="U65" s="110">
        <v>0</v>
      </c>
      <c r="V65" s="110">
        <v>0</v>
      </c>
      <c r="W65" s="110">
        <v>0</v>
      </c>
      <c r="X65" s="100">
        <f t="shared" ref="X65:X67" si="24">P65+R65+T65+V65</f>
        <v>0</v>
      </c>
      <c r="Y65" s="101">
        <v>0</v>
      </c>
      <c r="Z65" s="102">
        <v>0</v>
      </c>
      <c r="AA65" s="103">
        <f t="shared" ref="AA65:AB70" si="25">K65+W65</f>
        <v>0</v>
      </c>
      <c r="AB65" s="100">
        <f t="shared" si="25"/>
        <v>0</v>
      </c>
      <c r="AC65" s="101">
        <v>0</v>
      </c>
      <c r="AD65" s="101">
        <v>0</v>
      </c>
      <c r="AE65" s="183" t="s">
        <v>154</v>
      </c>
    </row>
    <row r="66" spans="1:31" ht="157.5" x14ac:dyDescent="0.25">
      <c r="A66" s="87">
        <v>5</v>
      </c>
      <c r="B66" s="88" t="s">
        <v>34</v>
      </c>
      <c r="C66" s="88" t="s">
        <v>79</v>
      </c>
      <c r="D66" s="87" t="s">
        <v>40</v>
      </c>
      <c r="E66" s="88" t="s">
        <v>34</v>
      </c>
      <c r="F66" s="90" t="s">
        <v>155</v>
      </c>
      <c r="G66" s="184" t="s">
        <v>156</v>
      </c>
      <c r="H66" s="92" t="s">
        <v>46</v>
      </c>
      <c r="I66" s="185">
        <v>2</v>
      </c>
      <c r="J66" s="96">
        <v>926100000</v>
      </c>
      <c r="K66" s="185">
        <v>2</v>
      </c>
      <c r="L66" s="113">
        <v>341576158</v>
      </c>
      <c r="M66" s="185">
        <v>2</v>
      </c>
      <c r="N66" s="113">
        <v>63550200</v>
      </c>
      <c r="O66" s="185">
        <v>1</v>
      </c>
      <c r="P66" s="96">
        <v>13126225</v>
      </c>
      <c r="Q66" s="96">
        <v>0</v>
      </c>
      <c r="R66" s="96">
        <v>0</v>
      </c>
      <c r="S66" s="96"/>
      <c r="T66" s="96"/>
      <c r="U66" s="96"/>
      <c r="V66" s="96"/>
      <c r="W66" s="116">
        <f>O66+Q66+S66+U66</f>
        <v>1</v>
      </c>
      <c r="X66" s="100">
        <f t="shared" si="24"/>
        <v>13126225</v>
      </c>
      <c r="Y66" s="101">
        <f t="shared" ref="Y66:Y69" si="26">W66/M66*100%</f>
        <v>0.5</v>
      </c>
      <c r="Z66" s="102">
        <v>0</v>
      </c>
      <c r="AA66" s="116">
        <f t="shared" si="25"/>
        <v>3</v>
      </c>
      <c r="AB66" s="100">
        <f t="shared" si="25"/>
        <v>354702383</v>
      </c>
      <c r="AC66" s="101">
        <f t="shared" si="13"/>
        <v>1.5</v>
      </c>
      <c r="AD66" s="101">
        <f t="shared" si="13"/>
        <v>0.38300656840513986</v>
      </c>
      <c r="AE66" s="183" t="s">
        <v>154</v>
      </c>
    </row>
    <row r="67" spans="1:31" ht="189" x14ac:dyDescent="0.25">
      <c r="A67" s="87">
        <v>5</v>
      </c>
      <c r="B67" s="88" t="s">
        <v>34</v>
      </c>
      <c r="C67" s="88" t="s">
        <v>79</v>
      </c>
      <c r="D67" s="87" t="s">
        <v>40</v>
      </c>
      <c r="E67" s="88" t="s">
        <v>57</v>
      </c>
      <c r="F67" s="137" t="s">
        <v>157</v>
      </c>
      <c r="G67" s="123" t="s">
        <v>158</v>
      </c>
      <c r="H67" s="92" t="s">
        <v>46</v>
      </c>
      <c r="I67" s="96">
        <v>1</v>
      </c>
      <c r="J67" s="96">
        <v>231525000</v>
      </c>
      <c r="K67" s="155">
        <v>1</v>
      </c>
      <c r="L67" s="113">
        <v>133658600</v>
      </c>
      <c r="M67" s="155">
        <v>1</v>
      </c>
      <c r="N67" s="113">
        <v>25000085</v>
      </c>
      <c r="O67" s="96">
        <v>0</v>
      </c>
      <c r="P67" s="96">
        <v>0</v>
      </c>
      <c r="Q67" s="96">
        <v>0</v>
      </c>
      <c r="R67" s="96">
        <v>0</v>
      </c>
      <c r="S67" s="96">
        <v>0</v>
      </c>
      <c r="T67" s="96">
        <v>0</v>
      </c>
      <c r="U67" s="96">
        <v>0</v>
      </c>
      <c r="V67" s="96">
        <v>0</v>
      </c>
      <c r="W67" s="96">
        <v>0</v>
      </c>
      <c r="X67" s="100">
        <f t="shared" si="24"/>
        <v>0</v>
      </c>
      <c r="Y67" s="101">
        <f t="shared" si="26"/>
        <v>0</v>
      </c>
      <c r="Z67" s="102">
        <v>0</v>
      </c>
      <c r="AA67" s="103">
        <f t="shared" si="25"/>
        <v>1</v>
      </c>
      <c r="AB67" s="100">
        <f t="shared" si="25"/>
        <v>133658600</v>
      </c>
      <c r="AC67" s="101">
        <f t="shared" si="13"/>
        <v>1</v>
      </c>
      <c r="AD67" s="101">
        <f t="shared" si="13"/>
        <v>0.57729662023539574</v>
      </c>
      <c r="AE67" s="183" t="s">
        <v>154</v>
      </c>
    </row>
    <row r="68" spans="1:31" ht="126" x14ac:dyDescent="0.25">
      <c r="A68" s="87">
        <v>5</v>
      </c>
      <c r="B68" s="88" t="s">
        <v>34</v>
      </c>
      <c r="C68" s="88" t="s">
        <v>79</v>
      </c>
      <c r="D68" s="87" t="s">
        <v>40</v>
      </c>
      <c r="E68" s="88" t="s">
        <v>159</v>
      </c>
      <c r="F68" s="90" t="s">
        <v>160</v>
      </c>
      <c r="G68" s="123" t="s">
        <v>161</v>
      </c>
      <c r="H68" s="92" t="s">
        <v>162</v>
      </c>
      <c r="I68" s="96">
        <v>1</v>
      </c>
      <c r="J68" s="96">
        <v>28000000</v>
      </c>
      <c r="K68" s="155">
        <v>1</v>
      </c>
      <c r="L68" s="113">
        <v>18340025</v>
      </c>
      <c r="M68" s="155">
        <v>1</v>
      </c>
      <c r="N68" s="113">
        <v>175000000</v>
      </c>
      <c r="O68" s="77">
        <v>0</v>
      </c>
      <c r="P68" s="96">
        <v>0</v>
      </c>
      <c r="Q68" s="147">
        <v>1</v>
      </c>
      <c r="R68" s="96">
        <v>175000000</v>
      </c>
      <c r="S68" s="152"/>
      <c r="T68" s="96"/>
      <c r="U68" s="96"/>
      <c r="V68" s="96"/>
      <c r="W68" s="116">
        <f>O68+Q68+S68+U68</f>
        <v>1</v>
      </c>
      <c r="X68" s="100">
        <f>P68+R68+T68+V68</f>
        <v>175000000</v>
      </c>
      <c r="Y68" s="101">
        <f t="shared" si="26"/>
        <v>1</v>
      </c>
      <c r="Z68" s="102">
        <v>0</v>
      </c>
      <c r="AA68" s="103">
        <f t="shared" si="25"/>
        <v>2</v>
      </c>
      <c r="AB68" s="100">
        <f t="shared" si="25"/>
        <v>193340025</v>
      </c>
      <c r="AC68" s="101">
        <f t="shared" si="13"/>
        <v>2</v>
      </c>
      <c r="AD68" s="101">
        <f t="shared" si="13"/>
        <v>6.9050008928571431</v>
      </c>
      <c r="AE68" s="183" t="s">
        <v>154</v>
      </c>
    </row>
    <row r="69" spans="1:31" ht="141.75" x14ac:dyDescent="0.25">
      <c r="A69" s="87">
        <v>5</v>
      </c>
      <c r="B69" s="88" t="s">
        <v>34</v>
      </c>
      <c r="C69" s="88" t="s">
        <v>79</v>
      </c>
      <c r="D69" s="87" t="s">
        <v>40</v>
      </c>
      <c r="E69" s="87">
        <v>10</v>
      </c>
      <c r="F69" s="90" t="s">
        <v>163</v>
      </c>
      <c r="G69" s="91" t="s">
        <v>164</v>
      </c>
      <c r="H69" s="92" t="s">
        <v>46</v>
      </c>
      <c r="I69" s="96">
        <v>1</v>
      </c>
      <c r="J69" s="96">
        <v>173000000</v>
      </c>
      <c r="K69" s="147">
        <v>1</v>
      </c>
      <c r="L69" s="115">
        <v>59578500</v>
      </c>
      <c r="M69" s="147">
        <v>1</v>
      </c>
      <c r="N69" s="115">
        <v>15735000</v>
      </c>
      <c r="O69" s="77">
        <v>0</v>
      </c>
      <c r="P69" s="96">
        <v>0</v>
      </c>
      <c r="Q69" s="147"/>
      <c r="R69" s="96">
        <v>6450000</v>
      </c>
      <c r="S69" s="77"/>
      <c r="T69" s="96"/>
      <c r="U69" s="96"/>
      <c r="V69" s="96"/>
      <c r="W69" s="100">
        <f t="shared" ref="W69:X75" si="27">O69+Q69+S69+U69</f>
        <v>0</v>
      </c>
      <c r="X69" s="100">
        <f t="shared" si="27"/>
        <v>6450000</v>
      </c>
      <c r="Y69" s="101">
        <f t="shared" si="26"/>
        <v>0</v>
      </c>
      <c r="Z69" s="102">
        <v>0</v>
      </c>
      <c r="AA69" s="103">
        <f t="shared" si="25"/>
        <v>1</v>
      </c>
      <c r="AB69" s="100">
        <f t="shared" si="25"/>
        <v>66028500</v>
      </c>
      <c r="AC69" s="101">
        <f t="shared" si="13"/>
        <v>1</v>
      </c>
      <c r="AD69" s="101">
        <f t="shared" si="13"/>
        <v>0.38166763005780346</v>
      </c>
      <c r="AE69" s="183" t="s">
        <v>154</v>
      </c>
    </row>
    <row r="70" spans="1:31" ht="126" x14ac:dyDescent="0.25">
      <c r="A70" s="87">
        <v>5</v>
      </c>
      <c r="B70" s="88" t="s">
        <v>34</v>
      </c>
      <c r="C70" s="88" t="s">
        <v>79</v>
      </c>
      <c r="D70" s="87" t="s">
        <v>40</v>
      </c>
      <c r="E70" s="87">
        <v>11</v>
      </c>
      <c r="F70" s="90" t="s">
        <v>165</v>
      </c>
      <c r="G70" s="91" t="s">
        <v>166</v>
      </c>
      <c r="H70" s="92" t="s">
        <v>46</v>
      </c>
      <c r="I70" s="96">
        <v>0</v>
      </c>
      <c r="J70" s="96">
        <v>0</v>
      </c>
      <c r="K70" s="96">
        <v>0</v>
      </c>
      <c r="L70" s="113">
        <v>0</v>
      </c>
      <c r="M70" s="96">
        <v>0</v>
      </c>
      <c r="N70" s="113">
        <v>0</v>
      </c>
      <c r="O70" s="77"/>
      <c r="P70" s="96"/>
      <c r="Q70" s="147"/>
      <c r="R70" s="96"/>
      <c r="S70" s="77"/>
      <c r="T70" s="96"/>
      <c r="U70" s="96"/>
      <c r="V70" s="96"/>
      <c r="W70" s="100">
        <f t="shared" si="27"/>
        <v>0</v>
      </c>
      <c r="X70" s="100">
        <f t="shared" si="27"/>
        <v>0</v>
      </c>
      <c r="Y70" s="101">
        <v>0</v>
      </c>
      <c r="Z70" s="102">
        <v>0</v>
      </c>
      <c r="AA70" s="103">
        <f t="shared" si="25"/>
        <v>0</v>
      </c>
      <c r="AB70" s="100">
        <f t="shared" si="25"/>
        <v>0</v>
      </c>
      <c r="AC70" s="101">
        <v>0</v>
      </c>
      <c r="AD70" s="101">
        <v>0</v>
      </c>
      <c r="AE70" s="183" t="s">
        <v>154</v>
      </c>
    </row>
    <row r="71" spans="1:31" ht="157.5" x14ac:dyDescent="0.25">
      <c r="A71" s="186"/>
      <c r="B71" s="187"/>
      <c r="C71" s="187"/>
      <c r="D71" s="186"/>
      <c r="E71" s="186"/>
      <c r="F71" s="188"/>
      <c r="G71" s="189" t="s">
        <v>167</v>
      </c>
      <c r="H71" s="190" t="s">
        <v>43</v>
      </c>
      <c r="I71" s="191">
        <v>100</v>
      </c>
      <c r="J71" s="192">
        <f>J72</f>
        <v>656000000</v>
      </c>
      <c r="K71" s="191">
        <v>100</v>
      </c>
      <c r="L71" s="192">
        <f>L72</f>
        <v>271244050</v>
      </c>
      <c r="M71" s="191">
        <v>100</v>
      </c>
      <c r="N71" s="192">
        <f>N72</f>
        <v>22124365</v>
      </c>
      <c r="O71" s="191">
        <v>25</v>
      </c>
      <c r="P71" s="192">
        <f>P72</f>
        <v>4118220</v>
      </c>
      <c r="Q71" s="191">
        <v>25</v>
      </c>
      <c r="R71" s="192">
        <f>SUM(R72:R74)</f>
        <v>16912790</v>
      </c>
      <c r="S71" s="193"/>
      <c r="T71" s="192">
        <f>SUM(T72:T74)</f>
        <v>0</v>
      </c>
      <c r="U71" s="193"/>
      <c r="V71" s="192">
        <f>SUM(V72:V74)</f>
        <v>0</v>
      </c>
      <c r="W71" s="191">
        <f t="shared" si="27"/>
        <v>50</v>
      </c>
      <c r="X71" s="192">
        <f>X72</f>
        <v>14524365</v>
      </c>
      <c r="Y71" s="194">
        <f>W71/M71*100%</f>
        <v>0.5</v>
      </c>
      <c r="Z71" s="195">
        <f>X71/N71*100%</f>
        <v>0.65648731613314104</v>
      </c>
      <c r="AA71" s="196"/>
      <c r="AB71" s="192">
        <f>SUM(AB72:AB74)</f>
        <v>348807030</v>
      </c>
      <c r="AC71" s="197">
        <f t="shared" si="13"/>
        <v>0</v>
      </c>
      <c r="AD71" s="197">
        <f t="shared" si="13"/>
        <v>0.53171803353658531</v>
      </c>
      <c r="AE71" s="193"/>
    </row>
    <row r="72" spans="1:31" ht="157.5" x14ac:dyDescent="0.25">
      <c r="A72" s="73">
        <v>5</v>
      </c>
      <c r="B72" s="74" t="s">
        <v>34</v>
      </c>
      <c r="C72" s="74" t="s">
        <v>79</v>
      </c>
      <c r="D72" s="73" t="s">
        <v>63</v>
      </c>
      <c r="E72" s="75"/>
      <c r="F72" s="75" t="s">
        <v>168</v>
      </c>
      <c r="G72" s="120" t="s">
        <v>169</v>
      </c>
      <c r="H72" s="76" t="s">
        <v>43</v>
      </c>
      <c r="I72" s="128">
        <v>100</v>
      </c>
      <c r="J72" s="198">
        <f>SUM(J73:J75)</f>
        <v>656000000</v>
      </c>
      <c r="K72" s="128">
        <v>100</v>
      </c>
      <c r="L72" s="198">
        <f>SUM(L73:L75)</f>
        <v>271244050</v>
      </c>
      <c r="M72" s="128">
        <v>100</v>
      </c>
      <c r="N72" s="78">
        <f>SUM(N73:N75)</f>
        <v>22124365</v>
      </c>
      <c r="O72" s="128">
        <v>25</v>
      </c>
      <c r="P72" s="78">
        <f>SUM(P73:P75)</f>
        <v>4118220</v>
      </c>
      <c r="Q72" s="128">
        <v>25</v>
      </c>
      <c r="R72" s="198">
        <f>SUM(R73:R75)</f>
        <v>10406145</v>
      </c>
      <c r="S72" s="126"/>
      <c r="T72" s="198">
        <f>SUM(T73:T75)</f>
        <v>0</v>
      </c>
      <c r="U72" s="126"/>
      <c r="V72" s="198">
        <f>SUM(V73:V75)</f>
        <v>0</v>
      </c>
      <c r="W72" s="191">
        <f t="shared" si="27"/>
        <v>50</v>
      </c>
      <c r="X72" s="198">
        <f>SUM(X73:X75)</f>
        <v>14524365</v>
      </c>
      <c r="Y72" s="82">
        <f>W72/M72*100%</f>
        <v>0.5</v>
      </c>
      <c r="Z72" s="83">
        <f>X72/N72*100%</f>
        <v>0.65648731613314104</v>
      </c>
      <c r="AA72" s="122"/>
      <c r="AB72" s="198">
        <f>SUM(AB73:AB75)</f>
        <v>285768415</v>
      </c>
      <c r="AC72" s="82">
        <f t="shared" si="13"/>
        <v>0</v>
      </c>
      <c r="AD72" s="82">
        <f t="shared" si="13"/>
        <v>0.43562258384146341</v>
      </c>
      <c r="AE72" s="126"/>
    </row>
    <row r="73" spans="1:31" ht="141.75" x14ac:dyDescent="0.25">
      <c r="A73" s="87">
        <v>5</v>
      </c>
      <c r="B73" s="88" t="s">
        <v>34</v>
      </c>
      <c r="C73" s="88" t="s">
        <v>79</v>
      </c>
      <c r="D73" s="87" t="s">
        <v>63</v>
      </c>
      <c r="E73" s="88" t="s">
        <v>36</v>
      </c>
      <c r="F73" s="90" t="s">
        <v>170</v>
      </c>
      <c r="G73" s="130" t="s">
        <v>171</v>
      </c>
      <c r="H73" s="92" t="s">
        <v>46</v>
      </c>
      <c r="I73" s="96">
        <v>1</v>
      </c>
      <c r="J73" s="96">
        <v>18000000</v>
      </c>
      <c r="K73" s="131">
        <v>1</v>
      </c>
      <c r="L73" s="113">
        <v>9999750</v>
      </c>
      <c r="M73" s="131">
        <v>1</v>
      </c>
      <c r="N73" s="113">
        <v>2500000</v>
      </c>
      <c r="O73" s="77">
        <v>0</v>
      </c>
      <c r="P73" s="77">
        <v>0</v>
      </c>
      <c r="Q73" s="96">
        <v>0</v>
      </c>
      <c r="R73" s="96">
        <v>0</v>
      </c>
      <c r="S73" s="96"/>
      <c r="T73" s="96"/>
      <c r="U73" s="96"/>
      <c r="V73" s="96"/>
      <c r="W73" s="96">
        <f t="shared" si="27"/>
        <v>0</v>
      </c>
      <c r="X73" s="100">
        <f>P73+R73+T73+V73</f>
        <v>0</v>
      </c>
      <c r="Y73" s="101">
        <f>W73/M73</f>
        <v>0</v>
      </c>
      <c r="Z73" s="102">
        <f t="shared" ref="Z73:Z77" si="28">X73/N73*100%</f>
        <v>0</v>
      </c>
      <c r="AA73" s="103">
        <f t="shared" ref="AA73:AB78" si="29">K73+W73</f>
        <v>1</v>
      </c>
      <c r="AB73" s="100">
        <f t="shared" si="29"/>
        <v>9999750</v>
      </c>
      <c r="AC73" s="101">
        <f t="shared" si="13"/>
        <v>1</v>
      </c>
      <c r="AD73" s="101">
        <f t="shared" si="13"/>
        <v>0.55554166666666671</v>
      </c>
      <c r="AE73" s="183" t="s">
        <v>154</v>
      </c>
    </row>
    <row r="74" spans="1:31" ht="126" x14ac:dyDescent="0.25">
      <c r="A74" s="87">
        <v>5</v>
      </c>
      <c r="B74" s="88" t="s">
        <v>34</v>
      </c>
      <c r="C74" s="88" t="s">
        <v>79</v>
      </c>
      <c r="D74" s="87" t="s">
        <v>63</v>
      </c>
      <c r="E74" s="88" t="s">
        <v>79</v>
      </c>
      <c r="F74" s="90" t="s">
        <v>172</v>
      </c>
      <c r="G74" s="130" t="s">
        <v>173</v>
      </c>
      <c r="H74" s="92" t="s">
        <v>46</v>
      </c>
      <c r="I74" s="96">
        <v>2</v>
      </c>
      <c r="J74" s="96">
        <v>158000000</v>
      </c>
      <c r="K74" s="131">
        <v>2</v>
      </c>
      <c r="L74" s="113">
        <v>42414000</v>
      </c>
      <c r="M74" s="131">
        <v>1</v>
      </c>
      <c r="N74" s="113">
        <v>13624865</v>
      </c>
      <c r="O74" s="96">
        <v>0</v>
      </c>
      <c r="P74" s="96">
        <v>4118220</v>
      </c>
      <c r="Q74" s="96">
        <v>0</v>
      </c>
      <c r="R74" s="96">
        <v>6506645</v>
      </c>
      <c r="S74" s="96"/>
      <c r="T74" s="96"/>
      <c r="U74" s="96"/>
      <c r="V74" s="96"/>
      <c r="W74" s="96">
        <f t="shared" si="27"/>
        <v>0</v>
      </c>
      <c r="X74" s="100">
        <f t="shared" si="27"/>
        <v>10624865</v>
      </c>
      <c r="Y74" s="101">
        <f t="shared" ref="Y74:Y75" si="30">W74/M74</f>
        <v>0</v>
      </c>
      <c r="Z74" s="102">
        <f t="shared" si="28"/>
        <v>0.77981433210530893</v>
      </c>
      <c r="AA74" s="103">
        <f t="shared" si="29"/>
        <v>2</v>
      </c>
      <c r="AB74" s="100">
        <f t="shared" si="29"/>
        <v>53038865</v>
      </c>
      <c r="AC74" s="101">
        <f t="shared" si="13"/>
        <v>1</v>
      </c>
      <c r="AD74" s="101">
        <f t="shared" si="13"/>
        <v>0.33568901898734177</v>
      </c>
      <c r="AE74" s="183" t="s">
        <v>154</v>
      </c>
    </row>
    <row r="75" spans="1:31" ht="126" x14ac:dyDescent="0.25">
      <c r="A75" s="87">
        <v>5</v>
      </c>
      <c r="B75" s="88" t="s">
        <v>34</v>
      </c>
      <c r="C75" s="88" t="s">
        <v>79</v>
      </c>
      <c r="D75" s="87" t="s">
        <v>63</v>
      </c>
      <c r="E75" s="88" t="s">
        <v>34</v>
      </c>
      <c r="F75" s="90" t="s">
        <v>174</v>
      </c>
      <c r="G75" s="91" t="s">
        <v>175</v>
      </c>
      <c r="H75" s="92" t="s">
        <v>46</v>
      </c>
      <c r="I75" s="96">
        <v>1</v>
      </c>
      <c r="J75" s="96">
        <v>480000000</v>
      </c>
      <c r="K75" s="131">
        <v>1</v>
      </c>
      <c r="L75" s="113">
        <v>218830300</v>
      </c>
      <c r="M75" s="131">
        <v>1</v>
      </c>
      <c r="N75" s="113">
        <v>5999500</v>
      </c>
      <c r="O75" s="96">
        <v>0</v>
      </c>
      <c r="P75" s="96">
        <v>0</v>
      </c>
      <c r="Q75" s="77">
        <v>0</v>
      </c>
      <c r="R75" s="96">
        <v>3899500</v>
      </c>
      <c r="S75" s="96"/>
      <c r="T75" s="96"/>
      <c r="U75" s="96"/>
      <c r="V75" s="96"/>
      <c r="W75" s="96">
        <f t="shared" si="27"/>
        <v>0</v>
      </c>
      <c r="X75" s="100">
        <f t="shared" si="27"/>
        <v>3899500</v>
      </c>
      <c r="Y75" s="101">
        <f t="shared" si="30"/>
        <v>0</v>
      </c>
      <c r="Z75" s="102">
        <f t="shared" si="28"/>
        <v>0.64997083090257524</v>
      </c>
      <c r="AA75" s="103">
        <f t="shared" si="29"/>
        <v>1</v>
      </c>
      <c r="AB75" s="100">
        <f t="shared" si="29"/>
        <v>222729800</v>
      </c>
      <c r="AC75" s="101">
        <f t="shared" si="13"/>
        <v>1</v>
      </c>
      <c r="AD75" s="101">
        <f t="shared" si="13"/>
        <v>0.46402041666666666</v>
      </c>
      <c r="AE75" s="183" t="s">
        <v>154</v>
      </c>
    </row>
    <row r="76" spans="1:31" ht="110.25" x14ac:dyDescent="0.25">
      <c r="A76" s="186"/>
      <c r="B76" s="187"/>
      <c r="C76" s="187"/>
      <c r="D76" s="186"/>
      <c r="E76" s="187"/>
      <c r="F76" s="188"/>
      <c r="G76" s="189" t="s">
        <v>176</v>
      </c>
      <c r="H76" s="190" t="s">
        <v>43</v>
      </c>
      <c r="I76" s="199">
        <v>94</v>
      </c>
      <c r="J76" s="200">
        <f>J77</f>
        <v>1368000000</v>
      </c>
      <c r="K76" s="199">
        <v>90</v>
      </c>
      <c r="L76" s="200">
        <f>L77</f>
        <v>1224885561</v>
      </c>
      <c r="M76" s="201">
        <v>91</v>
      </c>
      <c r="N76" s="200">
        <f>N77</f>
        <v>26999790</v>
      </c>
      <c r="O76" s="202">
        <f>4/5*100</f>
        <v>80</v>
      </c>
      <c r="P76" s="202">
        <f>SUM(P77:P80)</f>
        <v>0</v>
      </c>
      <c r="Q76" s="202">
        <f>3/5*100</f>
        <v>60</v>
      </c>
      <c r="R76" s="200">
        <f>SUM(R77:R80)</f>
        <v>1326000</v>
      </c>
      <c r="S76" s="193"/>
      <c r="T76" s="200">
        <f>SUM(T77:T80)</f>
        <v>0</v>
      </c>
      <c r="U76" s="203">
        <v>0</v>
      </c>
      <c r="V76" s="200">
        <f>SUM(V77:V80)</f>
        <v>0</v>
      </c>
      <c r="W76" s="200">
        <f>(O76+Q76)/2</f>
        <v>70</v>
      </c>
      <c r="X76" s="200">
        <f>SUM(X77:X80)</f>
        <v>1326000</v>
      </c>
      <c r="Y76" s="197">
        <f>W76/M76*100%</f>
        <v>0.76923076923076927</v>
      </c>
      <c r="Z76" s="195">
        <f t="shared" si="28"/>
        <v>4.9111493089390695E-2</v>
      </c>
      <c r="AA76" s="193"/>
      <c r="AB76" s="200">
        <f>AB77</f>
        <v>1226211561</v>
      </c>
      <c r="AC76" s="197">
        <f t="shared" si="13"/>
        <v>0</v>
      </c>
      <c r="AD76" s="197">
        <f t="shared" si="13"/>
        <v>0.89635348026315786</v>
      </c>
      <c r="AE76" s="193"/>
    </row>
    <row r="77" spans="1:31" ht="141.75" x14ac:dyDescent="0.25">
      <c r="A77" s="73">
        <v>5</v>
      </c>
      <c r="B77" s="74" t="s">
        <v>34</v>
      </c>
      <c r="C77" s="74" t="s">
        <v>79</v>
      </c>
      <c r="D77" s="73" t="s">
        <v>71</v>
      </c>
      <c r="E77" s="75"/>
      <c r="F77" s="75" t="s">
        <v>177</v>
      </c>
      <c r="G77" s="75" t="s">
        <v>178</v>
      </c>
      <c r="H77" s="76" t="s">
        <v>43</v>
      </c>
      <c r="I77" s="77">
        <v>100</v>
      </c>
      <c r="J77" s="79">
        <f>SUM(J78:J81)</f>
        <v>1368000000</v>
      </c>
      <c r="K77" s="204">
        <v>100</v>
      </c>
      <c r="L77" s="79">
        <f>SUM(L78:L81)</f>
        <v>1224885561</v>
      </c>
      <c r="M77" s="204">
        <v>100</v>
      </c>
      <c r="N77" s="78">
        <f>SUM(N78:N81)</f>
        <v>26999790</v>
      </c>
      <c r="O77" s="78">
        <v>0</v>
      </c>
      <c r="P77" s="78">
        <f>SUM(P78:P81)</f>
        <v>0</v>
      </c>
      <c r="Q77" s="78">
        <v>0</v>
      </c>
      <c r="R77" s="79">
        <f>SUM(R78:R81)</f>
        <v>1326000</v>
      </c>
      <c r="S77" s="126"/>
      <c r="T77" s="79">
        <f>SUM(T78:T81)</f>
        <v>0</v>
      </c>
      <c r="U77" s="205">
        <v>0</v>
      </c>
      <c r="V77" s="79">
        <f>SUM(V78:V81)</f>
        <v>0</v>
      </c>
      <c r="W77" s="206">
        <f>O77+Q77+S77+U77</f>
        <v>0</v>
      </c>
      <c r="X77" s="79">
        <f>SUM(X78:X81)</f>
        <v>1326000</v>
      </c>
      <c r="Y77" s="82">
        <f>W77/M77*100%</f>
        <v>0</v>
      </c>
      <c r="Z77" s="83">
        <f t="shared" si="28"/>
        <v>4.9111493089390695E-2</v>
      </c>
      <c r="AA77" s="126"/>
      <c r="AB77" s="100">
        <f t="shared" si="29"/>
        <v>1226211561</v>
      </c>
      <c r="AC77" s="101">
        <f t="shared" si="13"/>
        <v>0</v>
      </c>
      <c r="AD77" s="101">
        <f t="shared" si="13"/>
        <v>0.89635348026315786</v>
      </c>
      <c r="AE77" s="126"/>
    </row>
    <row r="78" spans="1:31" ht="110.25" x14ac:dyDescent="0.25">
      <c r="A78" s="87">
        <v>5</v>
      </c>
      <c r="B78" s="88" t="s">
        <v>34</v>
      </c>
      <c r="C78" s="88" t="s">
        <v>79</v>
      </c>
      <c r="D78" s="87" t="s">
        <v>71</v>
      </c>
      <c r="E78" s="88" t="s">
        <v>36</v>
      </c>
      <c r="F78" s="90" t="s">
        <v>179</v>
      </c>
      <c r="G78" s="91" t="s">
        <v>180</v>
      </c>
      <c r="H78" s="92" t="s">
        <v>68</v>
      </c>
      <c r="I78" s="104">
        <v>0</v>
      </c>
      <c r="J78" s="96">
        <v>0</v>
      </c>
      <c r="K78" s="104">
        <v>0</v>
      </c>
      <c r="L78" s="207">
        <v>0</v>
      </c>
      <c r="M78" s="104">
        <v>0</v>
      </c>
      <c r="N78" s="207">
        <v>0</v>
      </c>
      <c r="O78" s="78">
        <v>0</v>
      </c>
      <c r="P78" s="78">
        <f t="shared" ref="P78:P80" si="31">SUM(P79:P82)</f>
        <v>0</v>
      </c>
      <c r="Q78" s="78">
        <v>0</v>
      </c>
      <c r="R78" s="77">
        <v>0</v>
      </c>
      <c r="S78" s="96"/>
      <c r="T78" s="96"/>
      <c r="U78" s="77"/>
      <c r="V78" s="77"/>
      <c r="W78" s="121">
        <f t="shared" ref="W78:X88" si="32">O78+Q78+S78+U78</f>
        <v>0</v>
      </c>
      <c r="X78" s="100">
        <f t="shared" si="32"/>
        <v>0</v>
      </c>
      <c r="Y78" s="101">
        <v>0</v>
      </c>
      <c r="Z78" s="102">
        <v>0</v>
      </c>
      <c r="AA78" s="103">
        <f t="shared" ref="AA78:AB93" si="33">K78+W78</f>
        <v>0</v>
      </c>
      <c r="AB78" s="100">
        <f t="shared" si="29"/>
        <v>0</v>
      </c>
      <c r="AC78" s="101">
        <v>0</v>
      </c>
      <c r="AD78" s="101">
        <v>0</v>
      </c>
      <c r="AE78" s="208" t="s">
        <v>181</v>
      </c>
    </row>
    <row r="79" spans="1:31" ht="110.25" x14ac:dyDescent="0.25">
      <c r="A79" s="87">
        <v>5</v>
      </c>
      <c r="B79" s="88" t="s">
        <v>34</v>
      </c>
      <c r="C79" s="88" t="s">
        <v>79</v>
      </c>
      <c r="D79" s="87" t="s">
        <v>71</v>
      </c>
      <c r="E79" s="88" t="s">
        <v>79</v>
      </c>
      <c r="F79" s="90" t="s">
        <v>182</v>
      </c>
      <c r="G79" s="130" t="s">
        <v>183</v>
      </c>
      <c r="H79" s="92" t="s">
        <v>46</v>
      </c>
      <c r="I79" s="131">
        <v>1</v>
      </c>
      <c r="J79" s="96">
        <v>1150000000</v>
      </c>
      <c r="K79" s="209">
        <v>1</v>
      </c>
      <c r="L79" s="113">
        <v>1177837661</v>
      </c>
      <c r="M79" s="209">
        <v>1</v>
      </c>
      <c r="N79" s="113">
        <v>14999790</v>
      </c>
      <c r="O79" s="78">
        <v>0</v>
      </c>
      <c r="P79" s="78">
        <f t="shared" si="31"/>
        <v>0</v>
      </c>
      <c r="Q79" s="78">
        <v>0</v>
      </c>
      <c r="R79" s="96">
        <v>0</v>
      </c>
      <c r="S79" s="77"/>
      <c r="T79" s="96"/>
      <c r="U79" s="96"/>
      <c r="V79" s="96"/>
      <c r="W79" s="121">
        <f t="shared" si="32"/>
        <v>0</v>
      </c>
      <c r="X79" s="100">
        <f t="shared" si="32"/>
        <v>0</v>
      </c>
      <c r="Y79" s="101">
        <f t="shared" ref="Y79:Y87" si="34">W79/M79</f>
        <v>0</v>
      </c>
      <c r="Z79" s="102">
        <f t="shared" ref="Z79:Z87" si="35">X79/N79*100%</f>
        <v>0</v>
      </c>
      <c r="AA79" s="103">
        <f t="shared" si="33"/>
        <v>1</v>
      </c>
      <c r="AB79" s="100">
        <f t="shared" si="33"/>
        <v>1177837661</v>
      </c>
      <c r="AC79" s="101">
        <f t="shared" si="13"/>
        <v>1</v>
      </c>
      <c r="AD79" s="101">
        <f t="shared" si="13"/>
        <v>1.0242066617391303</v>
      </c>
      <c r="AE79" s="208" t="s">
        <v>181</v>
      </c>
    </row>
    <row r="80" spans="1:31" ht="126" x14ac:dyDescent="0.25">
      <c r="A80" s="87">
        <v>5</v>
      </c>
      <c r="B80" s="88" t="s">
        <v>34</v>
      </c>
      <c r="C80" s="88" t="s">
        <v>79</v>
      </c>
      <c r="D80" s="87" t="s">
        <v>71</v>
      </c>
      <c r="E80" s="88" t="s">
        <v>184</v>
      </c>
      <c r="F80" s="90" t="s">
        <v>185</v>
      </c>
      <c r="G80" s="130" t="s">
        <v>186</v>
      </c>
      <c r="H80" s="92" t="s">
        <v>68</v>
      </c>
      <c r="I80" s="96">
        <v>0</v>
      </c>
      <c r="J80" s="96">
        <v>0</v>
      </c>
      <c r="K80" s="209">
        <v>0</v>
      </c>
      <c r="L80" s="98">
        <v>0</v>
      </c>
      <c r="M80" s="209">
        <v>0</v>
      </c>
      <c r="N80" s="98">
        <v>0</v>
      </c>
      <c r="O80" s="78">
        <v>0</v>
      </c>
      <c r="P80" s="78">
        <f t="shared" si="31"/>
        <v>0</v>
      </c>
      <c r="Q80" s="78">
        <v>0</v>
      </c>
      <c r="R80" s="96">
        <v>0</v>
      </c>
      <c r="S80" s="77"/>
      <c r="T80" s="96"/>
      <c r="U80" s="96"/>
      <c r="V80" s="96"/>
      <c r="W80" s="121">
        <f t="shared" si="32"/>
        <v>0</v>
      </c>
      <c r="X80" s="100">
        <f t="shared" si="32"/>
        <v>0</v>
      </c>
      <c r="Y80" s="101">
        <v>0</v>
      </c>
      <c r="Z80" s="102">
        <v>0</v>
      </c>
      <c r="AA80" s="103">
        <f t="shared" si="33"/>
        <v>0</v>
      </c>
      <c r="AB80" s="100">
        <f t="shared" si="33"/>
        <v>0</v>
      </c>
      <c r="AC80" s="101">
        <v>0</v>
      </c>
      <c r="AD80" s="101">
        <v>0</v>
      </c>
      <c r="AE80" s="208" t="s">
        <v>181</v>
      </c>
    </row>
    <row r="81" spans="1:31" ht="173.25" x14ac:dyDescent="0.25">
      <c r="A81" s="87">
        <v>5</v>
      </c>
      <c r="B81" s="88" t="s">
        <v>34</v>
      </c>
      <c r="C81" s="88" t="s">
        <v>79</v>
      </c>
      <c r="D81" s="87" t="s">
        <v>71</v>
      </c>
      <c r="E81" s="87">
        <v>14</v>
      </c>
      <c r="F81" s="90" t="s">
        <v>187</v>
      </c>
      <c r="G81" s="91" t="s">
        <v>188</v>
      </c>
      <c r="H81" s="92" t="s">
        <v>68</v>
      </c>
      <c r="I81" s="96">
        <v>200</v>
      </c>
      <c r="J81" s="96">
        <v>218000000</v>
      </c>
      <c r="K81" s="104">
        <v>190</v>
      </c>
      <c r="L81" s="113">
        <v>47047900</v>
      </c>
      <c r="M81" s="104">
        <v>70</v>
      </c>
      <c r="N81" s="113">
        <v>12000000</v>
      </c>
      <c r="O81" s="96">
        <v>0</v>
      </c>
      <c r="P81" s="96">
        <v>0</v>
      </c>
      <c r="Q81" s="96">
        <v>239</v>
      </c>
      <c r="R81" s="96">
        <v>1326000</v>
      </c>
      <c r="S81" s="96"/>
      <c r="T81" s="96"/>
      <c r="U81" s="96"/>
      <c r="V81" s="96"/>
      <c r="W81" s="99">
        <f t="shared" si="32"/>
        <v>239</v>
      </c>
      <c r="X81" s="100">
        <f t="shared" si="32"/>
        <v>1326000</v>
      </c>
      <c r="Y81" s="101">
        <f t="shared" si="34"/>
        <v>3.4142857142857141</v>
      </c>
      <c r="Z81" s="102">
        <f t="shared" si="35"/>
        <v>0.1105</v>
      </c>
      <c r="AA81" s="103">
        <f t="shared" si="33"/>
        <v>429</v>
      </c>
      <c r="AB81" s="100">
        <f t="shared" si="33"/>
        <v>48373900</v>
      </c>
      <c r="AC81" s="101">
        <f t="shared" si="13"/>
        <v>2.145</v>
      </c>
      <c r="AD81" s="101">
        <f t="shared" si="13"/>
        <v>0.22189862385321102</v>
      </c>
      <c r="AE81" s="208" t="s">
        <v>181</v>
      </c>
    </row>
    <row r="82" spans="1:31" ht="110.25" x14ac:dyDescent="0.25">
      <c r="A82" s="186"/>
      <c r="B82" s="187"/>
      <c r="C82" s="187"/>
      <c r="D82" s="186"/>
      <c r="E82" s="186"/>
      <c r="F82" s="188"/>
      <c r="G82" s="189" t="s">
        <v>189</v>
      </c>
      <c r="H82" s="190" t="s">
        <v>43</v>
      </c>
      <c r="I82" s="199">
        <v>95</v>
      </c>
      <c r="J82" s="200">
        <f>J83</f>
        <v>607000000</v>
      </c>
      <c r="K82" s="201">
        <v>90</v>
      </c>
      <c r="L82" s="200">
        <f>L83</f>
        <v>84544250</v>
      </c>
      <c r="M82" s="201">
        <v>92</v>
      </c>
      <c r="N82" s="200">
        <f>N83</f>
        <v>35724860</v>
      </c>
      <c r="O82" s="210">
        <v>0</v>
      </c>
      <c r="P82" s="202">
        <f>SUM(P83:P87)</f>
        <v>0</v>
      </c>
      <c r="Q82" s="210">
        <v>0</v>
      </c>
      <c r="R82" s="200">
        <f>SUM(R83:R87)</f>
        <v>0</v>
      </c>
      <c r="S82" s="211"/>
      <c r="T82" s="200">
        <f>SUM(T83:T87)</f>
        <v>0</v>
      </c>
      <c r="U82" s="203">
        <v>0</v>
      </c>
      <c r="V82" s="200">
        <f>SUM(V83:V87)</f>
        <v>0</v>
      </c>
      <c r="W82" s="212">
        <f>O82+Q82+S82+U82</f>
        <v>0</v>
      </c>
      <c r="X82" s="200">
        <f>SUM(X83:X87)</f>
        <v>0</v>
      </c>
      <c r="Y82" s="195">
        <f>W82/M82</f>
        <v>0</v>
      </c>
      <c r="Z82" s="195">
        <f t="shared" si="35"/>
        <v>0</v>
      </c>
      <c r="AA82" s="213">
        <f t="shared" si="33"/>
        <v>90</v>
      </c>
      <c r="AB82" s="214">
        <f t="shared" si="33"/>
        <v>84544250</v>
      </c>
      <c r="AC82" s="197">
        <f t="shared" si="13"/>
        <v>0.94736842105263153</v>
      </c>
      <c r="AD82" s="197">
        <f t="shared" si="13"/>
        <v>0.13928212520593081</v>
      </c>
      <c r="AE82" s="215"/>
    </row>
    <row r="83" spans="1:31" ht="204.75" x14ac:dyDescent="0.25">
      <c r="A83" s="73">
        <v>5</v>
      </c>
      <c r="B83" s="74" t="s">
        <v>34</v>
      </c>
      <c r="C83" s="74" t="s">
        <v>79</v>
      </c>
      <c r="D83" s="73" t="s">
        <v>190</v>
      </c>
      <c r="E83" s="75"/>
      <c r="F83" s="75" t="s">
        <v>191</v>
      </c>
      <c r="G83" s="216" t="s">
        <v>192</v>
      </c>
      <c r="H83" s="76" t="s">
        <v>43</v>
      </c>
      <c r="I83" s="77">
        <v>0</v>
      </c>
      <c r="J83" s="79">
        <f>SUM(J84:J88)</f>
        <v>607000000</v>
      </c>
      <c r="K83" s="205">
        <v>100</v>
      </c>
      <c r="L83" s="79">
        <f>SUM(L84:L88)</f>
        <v>84544250</v>
      </c>
      <c r="M83" s="205">
        <v>100</v>
      </c>
      <c r="N83" s="78">
        <f>SUM(N84:N88)</f>
        <v>35724860</v>
      </c>
      <c r="O83" s="78">
        <v>0</v>
      </c>
      <c r="P83" s="78">
        <f>SUM(P84:P88)</f>
        <v>0</v>
      </c>
      <c r="Q83" s="78">
        <v>0</v>
      </c>
      <c r="R83" s="79">
        <f>SUM(R84:R88)</f>
        <v>0</v>
      </c>
      <c r="S83" s="126"/>
      <c r="T83" s="79">
        <f>SUM(T84:T88)</f>
        <v>0</v>
      </c>
      <c r="U83" s="205">
        <v>0</v>
      </c>
      <c r="V83" s="79">
        <f>SUM(V84:V88)</f>
        <v>0</v>
      </c>
      <c r="W83" s="99">
        <f t="shared" si="32"/>
        <v>0</v>
      </c>
      <c r="X83" s="79">
        <f>SUM(X84:X88)</f>
        <v>0</v>
      </c>
      <c r="Y83" s="82">
        <f t="shared" si="34"/>
        <v>0</v>
      </c>
      <c r="Z83" s="83">
        <f t="shared" si="35"/>
        <v>0</v>
      </c>
      <c r="AA83" s="84">
        <f t="shared" si="33"/>
        <v>100</v>
      </c>
      <c r="AB83" s="85">
        <f t="shared" si="33"/>
        <v>84544250</v>
      </c>
      <c r="AC83" s="82" t="e">
        <f t="shared" si="13"/>
        <v>#DIV/0!</v>
      </c>
      <c r="AD83" s="82">
        <f t="shared" si="13"/>
        <v>0.13928212520593081</v>
      </c>
      <c r="AE83" s="126"/>
    </row>
    <row r="84" spans="1:31" ht="173.25" x14ac:dyDescent="0.25">
      <c r="A84" s="87">
        <v>5</v>
      </c>
      <c r="B84" s="88" t="s">
        <v>34</v>
      </c>
      <c r="C84" s="88" t="s">
        <v>79</v>
      </c>
      <c r="D84" s="87" t="s">
        <v>190</v>
      </c>
      <c r="E84" s="88" t="s">
        <v>36</v>
      </c>
      <c r="F84" s="90" t="s">
        <v>193</v>
      </c>
      <c r="G84" s="123" t="s">
        <v>194</v>
      </c>
      <c r="H84" s="92" t="s">
        <v>46</v>
      </c>
      <c r="I84" s="217">
        <v>1</v>
      </c>
      <c r="J84" s="96">
        <v>23000000</v>
      </c>
      <c r="K84" s="209">
        <v>1</v>
      </c>
      <c r="L84" s="113">
        <v>10919850</v>
      </c>
      <c r="M84" s="209">
        <v>1</v>
      </c>
      <c r="N84" s="113">
        <v>2122130</v>
      </c>
      <c r="O84" s="78">
        <v>0</v>
      </c>
      <c r="P84" s="78">
        <f t="shared" ref="P84:P88" si="36">SUM(P85:P89)</f>
        <v>0</v>
      </c>
      <c r="Q84" s="78">
        <v>0</v>
      </c>
      <c r="R84" s="79">
        <f t="shared" ref="R84:R88" si="37">SUM(R85:R89)</f>
        <v>0</v>
      </c>
      <c r="S84" s="77"/>
      <c r="T84" s="110"/>
      <c r="U84" s="96"/>
      <c r="V84" s="96"/>
      <c r="W84" s="99">
        <f t="shared" si="32"/>
        <v>0</v>
      </c>
      <c r="X84" s="100">
        <f t="shared" si="32"/>
        <v>0</v>
      </c>
      <c r="Y84" s="101">
        <f t="shared" si="34"/>
        <v>0</v>
      </c>
      <c r="Z84" s="102">
        <f t="shared" si="35"/>
        <v>0</v>
      </c>
      <c r="AA84" s="103">
        <f t="shared" si="33"/>
        <v>1</v>
      </c>
      <c r="AB84" s="100">
        <f t="shared" si="33"/>
        <v>10919850</v>
      </c>
      <c r="AC84" s="101">
        <f t="shared" si="13"/>
        <v>1</v>
      </c>
      <c r="AD84" s="101">
        <f t="shared" si="13"/>
        <v>0.47477608695652174</v>
      </c>
      <c r="AE84" s="208" t="s">
        <v>181</v>
      </c>
    </row>
    <row r="85" spans="1:31" ht="157.5" x14ac:dyDescent="0.25">
      <c r="A85" s="87">
        <v>5</v>
      </c>
      <c r="B85" s="88" t="s">
        <v>34</v>
      </c>
      <c r="C85" s="88" t="s">
        <v>79</v>
      </c>
      <c r="D85" s="87" t="s">
        <v>190</v>
      </c>
      <c r="E85" s="88" t="s">
        <v>79</v>
      </c>
      <c r="F85" s="90" t="s">
        <v>195</v>
      </c>
      <c r="G85" s="123" t="s">
        <v>196</v>
      </c>
      <c r="H85" s="92" t="s">
        <v>85</v>
      </c>
      <c r="I85" s="217">
        <v>1</v>
      </c>
      <c r="J85" s="96">
        <v>34000000</v>
      </c>
      <c r="K85" s="77">
        <v>0</v>
      </c>
      <c r="L85" s="113">
        <v>0</v>
      </c>
      <c r="M85" s="96">
        <v>1</v>
      </c>
      <c r="N85" s="110">
        <v>2500000</v>
      </c>
      <c r="O85" s="78">
        <v>0</v>
      </c>
      <c r="P85" s="78">
        <f t="shared" si="36"/>
        <v>0</v>
      </c>
      <c r="Q85" s="78">
        <v>0</v>
      </c>
      <c r="R85" s="79">
        <f t="shared" si="37"/>
        <v>0</v>
      </c>
      <c r="S85" s="77"/>
      <c r="T85" s="77"/>
      <c r="U85" s="96"/>
      <c r="V85" s="96"/>
      <c r="W85" s="99">
        <f t="shared" si="32"/>
        <v>0</v>
      </c>
      <c r="X85" s="100">
        <f t="shared" si="32"/>
        <v>0</v>
      </c>
      <c r="Y85" s="101">
        <v>0</v>
      </c>
      <c r="Z85" s="102">
        <v>0</v>
      </c>
      <c r="AA85" s="103">
        <f t="shared" si="33"/>
        <v>0</v>
      </c>
      <c r="AB85" s="100">
        <f t="shared" si="33"/>
        <v>0</v>
      </c>
      <c r="AC85" s="101">
        <f t="shared" si="13"/>
        <v>0</v>
      </c>
      <c r="AD85" s="101">
        <f t="shared" si="13"/>
        <v>0</v>
      </c>
      <c r="AE85" s="208" t="s">
        <v>181</v>
      </c>
    </row>
    <row r="86" spans="1:31" ht="157.5" x14ac:dyDescent="0.25">
      <c r="A86" s="87">
        <v>5</v>
      </c>
      <c r="B86" s="88" t="s">
        <v>34</v>
      </c>
      <c r="C86" s="88" t="s">
        <v>79</v>
      </c>
      <c r="D86" s="87" t="s">
        <v>190</v>
      </c>
      <c r="E86" s="88" t="s">
        <v>184</v>
      </c>
      <c r="F86" s="90" t="s">
        <v>197</v>
      </c>
      <c r="G86" s="130" t="s">
        <v>198</v>
      </c>
      <c r="H86" s="92" t="s">
        <v>68</v>
      </c>
      <c r="I86" s="217">
        <v>12</v>
      </c>
      <c r="J86" s="96">
        <v>330000000</v>
      </c>
      <c r="K86" s="104">
        <v>0</v>
      </c>
      <c r="L86" s="98">
        <v>0</v>
      </c>
      <c r="M86" s="104">
        <v>0</v>
      </c>
      <c r="N86" s="98">
        <v>0</v>
      </c>
      <c r="O86" s="78">
        <v>0</v>
      </c>
      <c r="P86" s="78">
        <f t="shared" si="36"/>
        <v>0</v>
      </c>
      <c r="Q86" s="78">
        <v>0</v>
      </c>
      <c r="R86" s="79">
        <f t="shared" si="37"/>
        <v>0</v>
      </c>
      <c r="S86" s="77"/>
      <c r="T86" s="77"/>
      <c r="U86" s="96"/>
      <c r="V86" s="96"/>
      <c r="W86" s="126"/>
      <c r="X86" s="100">
        <f t="shared" si="32"/>
        <v>0</v>
      </c>
      <c r="Y86" s="101">
        <v>0</v>
      </c>
      <c r="Z86" s="102">
        <v>0</v>
      </c>
      <c r="AA86" s="116">
        <f t="shared" si="33"/>
        <v>0</v>
      </c>
      <c r="AB86" s="100">
        <f t="shared" si="33"/>
        <v>0</v>
      </c>
      <c r="AC86" s="101">
        <f t="shared" si="13"/>
        <v>0</v>
      </c>
      <c r="AD86" s="101">
        <f t="shared" si="13"/>
        <v>0</v>
      </c>
      <c r="AE86" s="208" t="s">
        <v>181</v>
      </c>
    </row>
    <row r="87" spans="1:31" ht="126" x14ac:dyDescent="0.25">
      <c r="A87" s="87">
        <v>5</v>
      </c>
      <c r="B87" s="88" t="s">
        <v>34</v>
      </c>
      <c r="C87" s="88" t="s">
        <v>79</v>
      </c>
      <c r="D87" s="87" t="s">
        <v>190</v>
      </c>
      <c r="E87" s="88" t="s">
        <v>54</v>
      </c>
      <c r="F87" s="90" t="s">
        <v>199</v>
      </c>
      <c r="G87" s="130" t="s">
        <v>200</v>
      </c>
      <c r="H87" s="92" t="s">
        <v>68</v>
      </c>
      <c r="I87" s="217">
        <v>300</v>
      </c>
      <c r="J87" s="96">
        <v>139000000</v>
      </c>
      <c r="K87" s="104">
        <v>115</v>
      </c>
      <c r="L87" s="113">
        <v>33359800</v>
      </c>
      <c r="M87" s="104">
        <v>151</v>
      </c>
      <c r="N87" s="113">
        <v>14200000</v>
      </c>
      <c r="O87" s="78">
        <v>0</v>
      </c>
      <c r="P87" s="78">
        <f t="shared" si="36"/>
        <v>0</v>
      </c>
      <c r="Q87" s="78">
        <v>0</v>
      </c>
      <c r="R87" s="79">
        <f t="shared" si="37"/>
        <v>0</v>
      </c>
      <c r="S87" s="96"/>
      <c r="T87" s="96"/>
      <c r="U87" s="96"/>
      <c r="V87" s="96"/>
      <c r="W87" s="99">
        <f t="shared" si="32"/>
        <v>0</v>
      </c>
      <c r="X87" s="100">
        <f t="shared" si="32"/>
        <v>0</v>
      </c>
      <c r="Y87" s="101">
        <f t="shared" si="34"/>
        <v>0</v>
      </c>
      <c r="Z87" s="102">
        <f t="shared" si="35"/>
        <v>0</v>
      </c>
      <c r="AA87" s="116">
        <f t="shared" si="33"/>
        <v>115</v>
      </c>
      <c r="AB87" s="100">
        <f t="shared" si="33"/>
        <v>33359800</v>
      </c>
      <c r="AC87" s="101">
        <f t="shared" si="13"/>
        <v>0.38333333333333336</v>
      </c>
      <c r="AD87" s="101">
        <f t="shared" si="13"/>
        <v>0.23999856115107915</v>
      </c>
      <c r="AE87" s="111"/>
    </row>
    <row r="88" spans="1:31" ht="141.75" x14ac:dyDescent="0.25">
      <c r="A88" s="87">
        <v>5</v>
      </c>
      <c r="B88" s="88" t="s">
        <v>34</v>
      </c>
      <c r="C88" s="88" t="s">
        <v>79</v>
      </c>
      <c r="D88" s="87" t="s">
        <v>190</v>
      </c>
      <c r="E88" s="88" t="s">
        <v>159</v>
      </c>
      <c r="F88" s="90" t="s">
        <v>201</v>
      </c>
      <c r="G88" s="130" t="s">
        <v>202</v>
      </c>
      <c r="H88" s="92" t="s">
        <v>203</v>
      </c>
      <c r="I88" s="217">
        <v>35</v>
      </c>
      <c r="J88" s="96">
        <v>81000000</v>
      </c>
      <c r="K88" s="209">
        <v>1</v>
      </c>
      <c r="L88" s="113">
        <v>40264600</v>
      </c>
      <c r="M88" s="209">
        <v>25</v>
      </c>
      <c r="N88" s="113">
        <v>16902730</v>
      </c>
      <c r="O88" s="78">
        <v>0</v>
      </c>
      <c r="P88" s="78">
        <f t="shared" si="36"/>
        <v>0</v>
      </c>
      <c r="Q88" s="96">
        <v>15</v>
      </c>
      <c r="R88" s="79">
        <f t="shared" si="37"/>
        <v>0</v>
      </c>
      <c r="S88" s="77"/>
      <c r="T88" s="110"/>
      <c r="U88" s="96"/>
      <c r="V88" s="96"/>
      <c r="W88" s="99">
        <f t="shared" si="32"/>
        <v>15</v>
      </c>
      <c r="X88" s="100">
        <f t="shared" si="32"/>
        <v>0</v>
      </c>
      <c r="Y88" s="101">
        <f>W88/M88</f>
        <v>0.6</v>
      </c>
      <c r="Z88" s="102">
        <f>X88/N88*100%</f>
        <v>0</v>
      </c>
      <c r="AA88" s="116">
        <f t="shared" si="33"/>
        <v>16</v>
      </c>
      <c r="AB88" s="100">
        <f t="shared" si="33"/>
        <v>40264600</v>
      </c>
      <c r="AC88" s="101">
        <f t="shared" si="13"/>
        <v>0.45714285714285713</v>
      </c>
      <c r="AD88" s="101">
        <f t="shared" si="13"/>
        <v>0.49709382716049383</v>
      </c>
      <c r="AE88" s="208" t="s">
        <v>181</v>
      </c>
    </row>
    <row r="89" spans="1:31" ht="78.75" x14ac:dyDescent="0.25">
      <c r="A89" s="218">
        <v>5</v>
      </c>
      <c r="B89" s="219" t="s">
        <v>184</v>
      </c>
      <c r="C89" s="220"/>
      <c r="D89" s="220"/>
      <c r="E89" s="220"/>
      <c r="F89" s="220" t="s">
        <v>204</v>
      </c>
      <c r="G89" s="221"/>
      <c r="H89" s="190" t="s">
        <v>43</v>
      </c>
      <c r="I89" s="222">
        <v>100</v>
      </c>
      <c r="J89" s="223">
        <f>J90</f>
        <v>4257830000</v>
      </c>
      <c r="K89" s="224"/>
      <c r="L89" s="223">
        <f>L90</f>
        <v>3723496263</v>
      </c>
      <c r="M89" s="224"/>
      <c r="N89" s="225">
        <f>N90</f>
        <v>18499835</v>
      </c>
      <c r="O89" s="225">
        <v>0</v>
      </c>
      <c r="P89" s="225">
        <f>P90</f>
        <v>0</v>
      </c>
      <c r="Q89" s="225">
        <v>0</v>
      </c>
      <c r="R89" s="223">
        <f>R90</f>
        <v>0</v>
      </c>
      <c r="S89" s="226"/>
      <c r="T89" s="223">
        <f>T90</f>
        <v>0</v>
      </c>
      <c r="U89" s="227"/>
      <c r="V89" s="223">
        <f>V90</f>
        <v>0</v>
      </c>
      <c r="W89" s="225">
        <v>0</v>
      </c>
      <c r="X89" s="223">
        <f>X90</f>
        <v>0</v>
      </c>
      <c r="Y89" s="225">
        <v>0</v>
      </c>
      <c r="Z89" s="228">
        <f>Z90</f>
        <v>0</v>
      </c>
      <c r="AA89" s="229"/>
      <c r="AB89" s="223">
        <f>AB90</f>
        <v>3723496263</v>
      </c>
      <c r="AC89" s="197">
        <f t="shared" si="13"/>
        <v>0</v>
      </c>
      <c r="AD89" s="197">
        <f t="shared" si="13"/>
        <v>0.87450561976405827</v>
      </c>
      <c r="AE89" s="227"/>
    </row>
    <row r="90" spans="1:31" ht="126" x14ac:dyDescent="0.25">
      <c r="A90" s="218">
        <v>5</v>
      </c>
      <c r="B90" s="219" t="s">
        <v>184</v>
      </c>
      <c r="C90" s="219" t="s">
        <v>79</v>
      </c>
      <c r="D90" s="220"/>
      <c r="E90" s="220"/>
      <c r="F90" s="220" t="s">
        <v>205</v>
      </c>
      <c r="G90" s="230"/>
      <c r="H90" s="190" t="s">
        <v>43</v>
      </c>
      <c r="I90" s="222">
        <v>100</v>
      </c>
      <c r="J90" s="223">
        <f>J91+J94</f>
        <v>4257830000</v>
      </c>
      <c r="K90" s="231"/>
      <c r="L90" s="223">
        <f>L91+L94</f>
        <v>3723496263</v>
      </c>
      <c r="M90" s="231"/>
      <c r="N90" s="223">
        <f>N91+N94</f>
        <v>18499835</v>
      </c>
      <c r="O90" s="225">
        <v>0</v>
      </c>
      <c r="P90" s="225">
        <f>P91</f>
        <v>0</v>
      </c>
      <c r="Q90" s="225">
        <v>0</v>
      </c>
      <c r="R90" s="223">
        <f>R92+R95</f>
        <v>0</v>
      </c>
      <c r="S90" s="232"/>
      <c r="T90" s="223">
        <f>T92+T95</f>
        <v>0</v>
      </c>
      <c r="U90" s="233"/>
      <c r="V90" s="223">
        <f>V92+V95</f>
        <v>0</v>
      </c>
      <c r="W90" s="225">
        <v>0</v>
      </c>
      <c r="X90" s="223">
        <f>X92+X95</f>
        <v>0</v>
      </c>
      <c r="Y90" s="225">
        <v>0</v>
      </c>
      <c r="Z90" s="228">
        <f>Z91</f>
        <v>0</v>
      </c>
      <c r="AA90" s="229"/>
      <c r="AB90" s="223">
        <f>AB92+AB95</f>
        <v>3723496263</v>
      </c>
      <c r="AC90" s="197">
        <f t="shared" si="13"/>
        <v>0</v>
      </c>
      <c r="AD90" s="197">
        <f t="shared" si="13"/>
        <v>0.87450561976405827</v>
      </c>
      <c r="AE90" s="227"/>
    </row>
    <row r="91" spans="1:31" ht="157.5" x14ac:dyDescent="0.25">
      <c r="A91" s="218"/>
      <c r="B91" s="218"/>
      <c r="C91" s="218"/>
      <c r="D91" s="220"/>
      <c r="E91" s="220"/>
      <c r="F91" s="220"/>
      <c r="G91" s="230" t="s">
        <v>206</v>
      </c>
      <c r="H91" s="234" t="s">
        <v>43</v>
      </c>
      <c r="I91" s="235">
        <v>14.54</v>
      </c>
      <c r="J91" s="223">
        <f>J92</f>
        <v>231525000</v>
      </c>
      <c r="K91" s="236">
        <v>13.9</v>
      </c>
      <c r="L91" s="223">
        <f>L92</f>
        <v>14800000</v>
      </c>
      <c r="M91" s="237">
        <v>14.1</v>
      </c>
      <c r="N91" s="223">
        <f>N92</f>
        <v>1500000</v>
      </c>
      <c r="O91" s="237">
        <f>524/4393*100</f>
        <v>11.928067379922604</v>
      </c>
      <c r="P91" s="225"/>
      <c r="Q91" s="237">
        <f>3/4393*100</f>
        <v>6.8290462098793539E-2</v>
      </c>
      <c r="R91" s="238"/>
      <c r="S91" s="232"/>
      <c r="T91" s="238"/>
      <c r="U91" s="239"/>
      <c r="V91" s="238"/>
      <c r="W91" s="240">
        <f>O91+Q91+S91+U91</f>
        <v>11.996357842021398</v>
      </c>
      <c r="X91" s="238">
        <f>X92+X95</f>
        <v>0</v>
      </c>
      <c r="Y91" s="241">
        <v>4.0000000000000003E-5</v>
      </c>
      <c r="Z91" s="242">
        <f t="shared" ref="Z91:Z97" si="38">X91/N91*100%</f>
        <v>0</v>
      </c>
      <c r="AA91" s="243">
        <f t="shared" si="33"/>
        <v>25.896357842021398</v>
      </c>
      <c r="AB91" s="223">
        <f>AB93+AB96</f>
        <v>3688496363</v>
      </c>
      <c r="AC91" s="197">
        <f t="shared" si="13"/>
        <v>1.7810424925736863</v>
      </c>
      <c r="AD91" s="197">
        <f t="shared" si="13"/>
        <v>15.931309202030018</v>
      </c>
      <c r="AE91" s="227"/>
    </row>
    <row r="92" spans="1:31" ht="173.25" x14ac:dyDescent="0.25">
      <c r="A92" s="73">
        <v>5</v>
      </c>
      <c r="B92" s="74" t="s">
        <v>184</v>
      </c>
      <c r="C92" s="74" t="s">
        <v>79</v>
      </c>
      <c r="D92" s="73" t="s">
        <v>40</v>
      </c>
      <c r="E92" s="75"/>
      <c r="F92" s="75" t="s">
        <v>207</v>
      </c>
      <c r="G92" s="134" t="s">
        <v>208</v>
      </c>
      <c r="H92" s="76" t="s">
        <v>43</v>
      </c>
      <c r="I92" s="77">
        <v>100</v>
      </c>
      <c r="J92" s="78">
        <f>J93</f>
        <v>231525000</v>
      </c>
      <c r="K92" s="244">
        <v>100</v>
      </c>
      <c r="L92" s="78">
        <f>L93</f>
        <v>14800000</v>
      </c>
      <c r="M92" s="244">
        <v>100</v>
      </c>
      <c r="N92" s="78">
        <f>N93</f>
        <v>1500000</v>
      </c>
      <c r="O92" s="244">
        <v>25</v>
      </c>
      <c r="P92" s="245">
        <v>0</v>
      </c>
      <c r="Q92" s="244">
        <v>25</v>
      </c>
      <c r="R92" s="79">
        <v>0</v>
      </c>
      <c r="S92" s="126"/>
      <c r="T92" s="79"/>
      <c r="U92" s="126"/>
      <c r="V92" s="79"/>
      <c r="W92" s="79">
        <v>0</v>
      </c>
      <c r="X92" s="79">
        <f>X93</f>
        <v>0</v>
      </c>
      <c r="Y92" s="246">
        <f>W92/M92</f>
        <v>0</v>
      </c>
      <c r="Z92" s="83">
        <f t="shared" si="38"/>
        <v>0</v>
      </c>
      <c r="AA92" s="247">
        <f t="shared" si="33"/>
        <v>100</v>
      </c>
      <c r="AB92" s="79">
        <f>AB93</f>
        <v>14800000</v>
      </c>
      <c r="AC92" s="82">
        <f t="shared" si="13"/>
        <v>1</v>
      </c>
      <c r="AD92" s="82">
        <f t="shared" si="13"/>
        <v>6.3923982291329229E-2</v>
      </c>
      <c r="AE92" s="126"/>
    </row>
    <row r="93" spans="1:31" ht="409.5" x14ac:dyDescent="0.25">
      <c r="A93" s="87">
        <v>5</v>
      </c>
      <c r="B93" s="88" t="s">
        <v>184</v>
      </c>
      <c r="C93" s="88" t="s">
        <v>79</v>
      </c>
      <c r="D93" s="87" t="s">
        <v>40</v>
      </c>
      <c r="E93" s="88" t="s">
        <v>34</v>
      </c>
      <c r="F93" s="248" t="s">
        <v>209</v>
      </c>
      <c r="G93" s="91" t="s">
        <v>210</v>
      </c>
      <c r="H93" s="92" t="s">
        <v>68</v>
      </c>
      <c r="I93" s="96">
        <v>4</v>
      </c>
      <c r="J93" s="96">
        <v>231525000</v>
      </c>
      <c r="K93" s="129">
        <v>3</v>
      </c>
      <c r="L93" s="209">
        <v>14800000</v>
      </c>
      <c r="M93" s="129">
        <v>0</v>
      </c>
      <c r="N93" s="209">
        <v>1500000</v>
      </c>
      <c r="O93" s="249">
        <v>0</v>
      </c>
      <c r="P93" s="96">
        <v>0</v>
      </c>
      <c r="Q93" s="249">
        <v>0</v>
      </c>
      <c r="R93" s="96">
        <v>0</v>
      </c>
      <c r="S93" s="96"/>
      <c r="T93" s="96"/>
      <c r="U93" s="96"/>
      <c r="V93" s="96"/>
      <c r="W93" s="99">
        <f t="shared" ref="W93:X93" si="39">O93+Q93+S93+U93</f>
        <v>0</v>
      </c>
      <c r="X93" s="100">
        <f t="shared" si="39"/>
        <v>0</v>
      </c>
      <c r="Y93" s="101">
        <v>0</v>
      </c>
      <c r="Z93" s="102">
        <f t="shared" si="38"/>
        <v>0</v>
      </c>
      <c r="AA93" s="116">
        <f t="shared" si="33"/>
        <v>3</v>
      </c>
      <c r="AB93" s="100">
        <f t="shared" si="33"/>
        <v>14800000</v>
      </c>
      <c r="AC93" s="101">
        <f t="shared" si="13"/>
        <v>0.75</v>
      </c>
      <c r="AD93" s="101">
        <f t="shared" si="13"/>
        <v>6.3923982291329229E-2</v>
      </c>
      <c r="AE93" s="208" t="s">
        <v>181</v>
      </c>
    </row>
    <row r="94" spans="1:31" ht="141.75" x14ac:dyDescent="0.25">
      <c r="A94" s="186"/>
      <c r="B94" s="187"/>
      <c r="C94" s="187"/>
      <c r="D94" s="186"/>
      <c r="E94" s="187"/>
      <c r="F94" s="250"/>
      <c r="G94" s="189" t="s">
        <v>211</v>
      </c>
      <c r="H94" s="190" t="s">
        <v>43</v>
      </c>
      <c r="I94" s="222">
        <v>100</v>
      </c>
      <c r="J94" s="202">
        <f>J95</f>
        <v>4026305000</v>
      </c>
      <c r="K94" s="222">
        <v>100</v>
      </c>
      <c r="L94" s="202">
        <f>L95</f>
        <v>3708696263</v>
      </c>
      <c r="M94" s="222">
        <v>100</v>
      </c>
      <c r="N94" s="202">
        <f>N95+N96</f>
        <v>16999835</v>
      </c>
      <c r="O94" s="222">
        <v>25</v>
      </c>
      <c r="P94" s="251"/>
      <c r="Q94" s="222">
        <v>25</v>
      </c>
      <c r="R94" s="222"/>
      <c r="S94" s="193"/>
      <c r="T94" s="252"/>
      <c r="U94" s="211"/>
      <c r="V94" s="252"/>
      <c r="W94" s="222">
        <f>O94+Q94+S94+U94</f>
        <v>50</v>
      </c>
      <c r="X94" s="252"/>
      <c r="Y94" s="197">
        <f>W94/M94*100%</f>
        <v>0.5</v>
      </c>
      <c r="Z94" s="195">
        <f t="shared" si="38"/>
        <v>0</v>
      </c>
      <c r="AA94" s="253">
        <f t="shared" ref="AA94:AB97" si="40">K94+W94</f>
        <v>150</v>
      </c>
      <c r="AB94" s="252">
        <f>AB95</f>
        <v>3708696263</v>
      </c>
      <c r="AC94" s="197">
        <f t="shared" si="13"/>
        <v>1.5</v>
      </c>
      <c r="AD94" s="197">
        <f t="shared" si="13"/>
        <v>0.92111657288754822</v>
      </c>
      <c r="AE94" s="211" t="s">
        <v>212</v>
      </c>
    </row>
    <row r="95" spans="1:31" ht="220.5" x14ac:dyDescent="0.25">
      <c r="A95" s="73">
        <v>5</v>
      </c>
      <c r="B95" s="74" t="s">
        <v>184</v>
      </c>
      <c r="C95" s="74" t="s">
        <v>79</v>
      </c>
      <c r="D95" s="73" t="s">
        <v>63</v>
      </c>
      <c r="E95" s="75"/>
      <c r="F95" s="75" t="s">
        <v>213</v>
      </c>
      <c r="G95" s="134" t="s">
        <v>214</v>
      </c>
      <c r="H95" s="76" t="s">
        <v>43</v>
      </c>
      <c r="I95" s="244">
        <v>100</v>
      </c>
      <c r="J95" s="254">
        <f>SUM(J96:J97)</f>
        <v>4026305000</v>
      </c>
      <c r="K95" s="244">
        <v>100</v>
      </c>
      <c r="L95" s="254">
        <f>SUM(L96:L97)</f>
        <v>3708696263</v>
      </c>
      <c r="M95" s="244">
        <v>100</v>
      </c>
      <c r="N95" s="78">
        <f>N96+N97</f>
        <v>16999835</v>
      </c>
      <c r="O95" s="245">
        <v>0</v>
      </c>
      <c r="P95" s="245">
        <v>0</v>
      </c>
      <c r="Q95" s="245">
        <v>0</v>
      </c>
      <c r="R95" s="254">
        <v>0</v>
      </c>
      <c r="S95" s="126"/>
      <c r="T95" s="254"/>
      <c r="U95" s="255"/>
      <c r="V95" s="254"/>
      <c r="W95" s="198">
        <v>0</v>
      </c>
      <c r="X95" s="254">
        <v>0</v>
      </c>
      <c r="Y95" s="82">
        <f>W95/M95*100%</f>
        <v>0</v>
      </c>
      <c r="Z95" s="83">
        <f t="shared" si="38"/>
        <v>0</v>
      </c>
      <c r="AA95" s="247">
        <f t="shared" si="40"/>
        <v>100</v>
      </c>
      <c r="AB95" s="254">
        <f>AB96+AB97</f>
        <v>3708696263</v>
      </c>
      <c r="AC95" s="82">
        <f t="shared" si="13"/>
        <v>1</v>
      </c>
      <c r="AD95" s="82">
        <f t="shared" si="13"/>
        <v>0.92111657288754822</v>
      </c>
      <c r="AE95" s="255" t="s">
        <v>212</v>
      </c>
    </row>
    <row r="96" spans="1:31" ht="346.5" x14ac:dyDescent="0.25">
      <c r="A96" s="87">
        <v>5</v>
      </c>
      <c r="B96" s="88" t="s">
        <v>184</v>
      </c>
      <c r="C96" s="88" t="s">
        <v>79</v>
      </c>
      <c r="D96" s="87" t="s">
        <v>63</v>
      </c>
      <c r="E96" s="88" t="s">
        <v>159</v>
      </c>
      <c r="F96" s="248" t="s">
        <v>215</v>
      </c>
      <c r="G96" s="130" t="s">
        <v>216</v>
      </c>
      <c r="H96" s="92" t="s">
        <v>85</v>
      </c>
      <c r="I96" s="132">
        <v>4</v>
      </c>
      <c r="J96" s="96">
        <v>3980000000</v>
      </c>
      <c r="K96" s="256">
        <v>4</v>
      </c>
      <c r="L96" s="209">
        <v>3673696363</v>
      </c>
      <c r="M96" s="256">
        <v>0</v>
      </c>
      <c r="N96" s="209">
        <v>0</v>
      </c>
      <c r="O96" s="245">
        <v>0</v>
      </c>
      <c r="P96" s="245">
        <v>0</v>
      </c>
      <c r="Q96" s="245">
        <v>0</v>
      </c>
      <c r="R96" s="254">
        <v>0</v>
      </c>
      <c r="S96" s="126"/>
      <c r="T96" s="254"/>
      <c r="U96" s="255"/>
      <c r="V96" s="254"/>
      <c r="W96" s="198">
        <v>0</v>
      </c>
      <c r="X96" s="254">
        <v>0</v>
      </c>
      <c r="Y96" s="101">
        <v>0</v>
      </c>
      <c r="Z96" s="102">
        <v>0</v>
      </c>
      <c r="AA96" s="116">
        <f t="shared" si="40"/>
        <v>4</v>
      </c>
      <c r="AB96" s="100">
        <f t="shared" si="40"/>
        <v>3673696363</v>
      </c>
      <c r="AC96" s="101">
        <f t="shared" si="13"/>
        <v>1</v>
      </c>
      <c r="AD96" s="101">
        <f t="shared" si="13"/>
        <v>0.92303928718592965</v>
      </c>
      <c r="AE96" s="208"/>
    </row>
    <row r="97" spans="1:31" ht="409.5" x14ac:dyDescent="0.25">
      <c r="A97" s="87">
        <v>5</v>
      </c>
      <c r="B97" s="88" t="s">
        <v>184</v>
      </c>
      <c r="C97" s="88" t="s">
        <v>79</v>
      </c>
      <c r="D97" s="87" t="s">
        <v>63</v>
      </c>
      <c r="E97" s="88" t="s">
        <v>217</v>
      </c>
      <c r="F97" s="248" t="s">
        <v>218</v>
      </c>
      <c r="G97" s="257" t="s">
        <v>219</v>
      </c>
      <c r="H97" s="92" t="s">
        <v>46</v>
      </c>
      <c r="I97" s="96">
        <v>2</v>
      </c>
      <c r="J97" s="96">
        <v>46305000</v>
      </c>
      <c r="K97" s="256">
        <v>2</v>
      </c>
      <c r="L97" s="115">
        <v>34999900</v>
      </c>
      <c r="M97" s="256">
        <v>1</v>
      </c>
      <c r="N97" s="115">
        <v>16999835</v>
      </c>
      <c r="O97" s="245">
        <v>0</v>
      </c>
      <c r="P97" s="245">
        <v>0</v>
      </c>
      <c r="Q97" s="245">
        <v>0</v>
      </c>
      <c r="R97" s="254">
        <v>0</v>
      </c>
      <c r="S97" s="126"/>
      <c r="T97" s="254"/>
      <c r="U97" s="255"/>
      <c r="V97" s="254"/>
      <c r="W97" s="198">
        <v>0</v>
      </c>
      <c r="X97" s="254">
        <v>0</v>
      </c>
      <c r="Y97" s="101">
        <f t="shared" ref="Y97" si="41">W97/M97</f>
        <v>0</v>
      </c>
      <c r="Z97" s="102">
        <f t="shared" si="38"/>
        <v>0</v>
      </c>
      <c r="AA97" s="103">
        <f t="shared" si="40"/>
        <v>2</v>
      </c>
      <c r="AB97" s="100">
        <f t="shared" si="40"/>
        <v>34999900</v>
      </c>
      <c r="AC97" s="101">
        <f>(AA97/I97)*100%</f>
        <v>1</v>
      </c>
      <c r="AD97" s="101">
        <f>(AB97/J97)*100%</f>
        <v>0.7558557391210452</v>
      </c>
      <c r="AE97" s="208" t="s">
        <v>181</v>
      </c>
    </row>
    <row r="98" spans="1:31" ht="15.75" x14ac:dyDescent="0.25">
      <c r="A98" s="258"/>
      <c r="B98" s="259"/>
      <c r="C98" s="259"/>
      <c r="D98" s="259"/>
      <c r="E98" s="259"/>
      <c r="F98" s="259"/>
      <c r="G98" s="259"/>
      <c r="H98" s="259"/>
      <c r="I98" s="259"/>
      <c r="J98" s="260">
        <f>J89+J62+J19</f>
        <v>21575880500</v>
      </c>
      <c r="K98" s="261">
        <v>91.804209410566543</v>
      </c>
      <c r="L98" s="260">
        <f>L89+L62+L19</f>
        <v>14456884234</v>
      </c>
      <c r="M98" s="262">
        <v>100</v>
      </c>
      <c r="N98" s="260">
        <f>N89+N62+N19</f>
        <v>7646183378</v>
      </c>
      <c r="O98" s="259">
        <f>P98/N98*100</f>
        <v>24.409404244345865</v>
      </c>
      <c r="P98" s="260">
        <f>P89+P62+P19</f>
        <v>1866387810</v>
      </c>
      <c r="Q98" s="261"/>
      <c r="R98" s="260">
        <f>R89+R62+R19</f>
        <v>1830917990</v>
      </c>
      <c r="S98" s="263"/>
      <c r="T98" s="260">
        <f>T89+T62+T19</f>
        <v>0</v>
      </c>
      <c r="U98" s="263"/>
      <c r="V98" s="260">
        <f>V89+V62+V19</f>
        <v>0</v>
      </c>
      <c r="W98" s="264">
        <f>(W19+W63+W71+W82+W91+W94+W76)/7/100</f>
        <v>0.25999479691717342</v>
      </c>
      <c r="X98" s="260">
        <f>X89+X62+X19</f>
        <v>3697305800</v>
      </c>
      <c r="Y98" s="264">
        <f>(W98/M98)*100</f>
        <v>0.25999479691717342</v>
      </c>
      <c r="Z98" s="86">
        <f>X98/N98*100%</f>
        <v>0.48354919274341263</v>
      </c>
      <c r="AA98" s="263"/>
      <c r="AB98" s="263"/>
      <c r="AC98" s="265" t="e">
        <f t="shared" ref="AC98:AD98" si="42">((AA98/I98)*100%)</f>
        <v>#DIV/0!</v>
      </c>
      <c r="AD98" s="265">
        <f t="shared" si="42"/>
        <v>0</v>
      </c>
      <c r="AE98" s="266"/>
    </row>
    <row r="99" spans="1:31" ht="15.75" x14ac:dyDescent="0.25">
      <c r="A99" s="267" t="s">
        <v>220</v>
      </c>
      <c r="B99" s="268"/>
      <c r="C99" s="268"/>
      <c r="D99" s="268"/>
      <c r="E99" s="268"/>
      <c r="F99" s="268"/>
      <c r="G99" s="268"/>
      <c r="H99" s="268"/>
      <c r="I99" s="268"/>
      <c r="J99" s="268"/>
      <c r="K99" s="268"/>
      <c r="L99" s="268"/>
      <c r="M99" s="268"/>
      <c r="N99" s="126"/>
      <c r="O99" s="263"/>
      <c r="P99" s="126"/>
      <c r="Q99" s="263"/>
      <c r="R99" s="126"/>
      <c r="S99" s="263"/>
      <c r="T99" s="126"/>
      <c r="U99" s="263"/>
      <c r="V99" s="126"/>
      <c r="W99" s="263"/>
      <c r="X99" s="207"/>
      <c r="Y99" s="269"/>
      <c r="Z99" s="270"/>
      <c r="AA99" s="263"/>
      <c r="AB99" s="263"/>
      <c r="AC99" s="263"/>
      <c r="AD99" s="263"/>
      <c r="AE99" s="266"/>
    </row>
    <row r="100" spans="1:31" ht="15.75" x14ac:dyDescent="0.25">
      <c r="A100" s="271" t="s">
        <v>221</v>
      </c>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c r="Z100" s="272"/>
      <c r="AA100" s="272"/>
      <c r="AB100" s="272"/>
      <c r="AC100" s="272"/>
      <c r="AD100" s="272"/>
      <c r="AE100" s="273"/>
    </row>
    <row r="101" spans="1:31" ht="15.75" x14ac:dyDescent="0.25">
      <c r="A101" s="274"/>
      <c r="B101" s="275"/>
      <c r="C101" s="275"/>
      <c r="D101" s="275"/>
      <c r="E101" s="275"/>
      <c r="F101" s="276" t="s">
        <v>222</v>
      </c>
      <c r="G101" s="275"/>
      <c r="H101" s="275"/>
      <c r="I101" s="275"/>
      <c r="J101" s="275"/>
      <c r="K101" s="275"/>
      <c r="L101" s="275"/>
      <c r="M101" s="275"/>
      <c r="N101" s="275"/>
      <c r="O101" s="275"/>
      <c r="P101" s="275"/>
      <c r="Q101" s="275"/>
      <c r="R101" s="275"/>
      <c r="S101" s="275"/>
      <c r="T101" s="275"/>
      <c r="U101" s="275"/>
      <c r="V101" s="275"/>
      <c r="W101" s="275"/>
      <c r="X101" s="275"/>
      <c r="Y101" s="277"/>
      <c r="Z101" s="275"/>
      <c r="AA101" s="275"/>
      <c r="AB101" s="275"/>
      <c r="AC101" s="275"/>
      <c r="AD101" s="275"/>
      <c r="AE101" s="278"/>
    </row>
    <row r="102" spans="1:31" ht="15.75" x14ac:dyDescent="0.25">
      <c r="A102" s="274"/>
      <c r="B102" s="275"/>
      <c r="C102" s="275"/>
      <c r="D102" s="275"/>
      <c r="E102" s="275"/>
      <c r="F102" s="276" t="s">
        <v>223</v>
      </c>
      <c r="G102" s="275"/>
      <c r="H102" s="275"/>
      <c r="I102" s="275"/>
      <c r="J102" s="275"/>
      <c r="K102" s="275"/>
      <c r="L102" s="275"/>
      <c r="M102" s="275"/>
      <c r="N102" s="275"/>
      <c r="O102" s="275"/>
      <c r="P102" s="275"/>
      <c r="Q102" s="275"/>
      <c r="R102" s="275"/>
      <c r="S102" s="275"/>
      <c r="T102" s="275"/>
      <c r="U102" s="275"/>
      <c r="V102" s="275"/>
      <c r="W102" s="275"/>
      <c r="X102" s="275"/>
      <c r="Y102" s="277"/>
      <c r="Z102" s="275"/>
      <c r="AA102" s="275"/>
      <c r="AB102" s="275"/>
      <c r="AC102" s="275"/>
      <c r="AD102" s="275"/>
      <c r="AE102" s="278"/>
    </row>
    <row r="103" spans="1:31" ht="15.75" x14ac:dyDescent="0.25">
      <c r="A103" s="274"/>
      <c r="B103" s="275"/>
      <c r="C103" s="275"/>
      <c r="D103" s="275"/>
      <c r="E103" s="275"/>
      <c r="F103" s="276" t="s">
        <v>224</v>
      </c>
      <c r="G103" s="275"/>
      <c r="H103" s="275"/>
      <c r="I103" s="275"/>
      <c r="J103" s="275"/>
      <c r="K103" s="275"/>
      <c r="L103" s="275"/>
      <c r="M103" s="275"/>
      <c r="N103" s="275"/>
      <c r="O103" s="275"/>
      <c r="P103" s="275"/>
      <c r="Q103" s="275"/>
      <c r="R103" s="275"/>
      <c r="S103" s="275"/>
      <c r="T103" s="275"/>
      <c r="U103" s="275"/>
      <c r="V103" s="275"/>
      <c r="W103" s="275"/>
      <c r="X103" s="275"/>
      <c r="Y103" s="277"/>
      <c r="Z103" s="275"/>
      <c r="AA103" s="275"/>
      <c r="AB103" s="275"/>
      <c r="AC103" s="275"/>
      <c r="AD103" s="275"/>
      <c r="AE103" s="278"/>
    </row>
    <row r="104" spans="1:31" ht="15.75" x14ac:dyDescent="0.25">
      <c r="A104" s="274"/>
      <c r="B104" s="275"/>
      <c r="C104" s="275"/>
      <c r="D104" s="275"/>
      <c r="E104" s="275"/>
      <c r="F104" s="276" t="s">
        <v>225</v>
      </c>
      <c r="G104" s="275"/>
      <c r="H104" s="275"/>
      <c r="I104" s="275"/>
      <c r="J104" s="275"/>
      <c r="K104" s="275"/>
      <c r="L104" s="275"/>
      <c r="M104" s="275"/>
      <c r="N104" s="275"/>
      <c r="O104" s="275"/>
      <c r="P104" s="275"/>
      <c r="Q104" s="275"/>
      <c r="R104" s="275"/>
      <c r="S104" s="275"/>
      <c r="T104" s="275"/>
      <c r="U104" s="275"/>
      <c r="V104" s="275"/>
      <c r="W104" s="275"/>
      <c r="X104" s="275"/>
      <c r="Y104" s="277"/>
      <c r="Z104" s="275"/>
      <c r="AA104" s="275"/>
      <c r="AB104" s="275"/>
      <c r="AC104" s="275"/>
      <c r="AD104" s="275"/>
      <c r="AE104" s="278"/>
    </row>
    <row r="105" spans="1:31" ht="15.75" x14ac:dyDescent="0.25">
      <c r="A105" s="274"/>
      <c r="B105" s="275"/>
      <c r="C105" s="275"/>
      <c r="D105" s="275"/>
      <c r="E105" s="275"/>
      <c r="F105" s="276" t="s">
        <v>226</v>
      </c>
      <c r="G105" s="275"/>
      <c r="H105" s="275"/>
      <c r="I105" s="275"/>
      <c r="J105" s="275"/>
      <c r="K105" s="275"/>
      <c r="L105" s="275"/>
      <c r="M105" s="275"/>
      <c r="N105" s="275"/>
      <c r="O105" s="275"/>
      <c r="P105" s="275"/>
      <c r="Q105" s="275"/>
      <c r="R105" s="275"/>
      <c r="S105" s="275"/>
      <c r="T105" s="275"/>
      <c r="U105" s="275"/>
      <c r="V105" s="275"/>
      <c r="W105" s="275"/>
      <c r="X105" s="275"/>
      <c r="Y105" s="277"/>
      <c r="Z105" s="275"/>
      <c r="AA105" s="275"/>
      <c r="AB105" s="275"/>
      <c r="AC105" s="275"/>
      <c r="AD105" s="275"/>
      <c r="AE105" s="278"/>
    </row>
    <row r="106" spans="1:31" ht="15.75" x14ac:dyDescent="0.25">
      <c r="A106" s="274"/>
      <c r="B106" s="275"/>
      <c r="C106" s="275"/>
      <c r="D106" s="275"/>
      <c r="E106" s="275"/>
      <c r="F106" s="276" t="s">
        <v>227</v>
      </c>
      <c r="G106" s="275"/>
      <c r="H106" s="275"/>
      <c r="I106" s="275"/>
      <c r="J106" s="275"/>
      <c r="K106" s="275"/>
      <c r="L106" s="275"/>
      <c r="M106" s="275"/>
      <c r="N106" s="275"/>
      <c r="O106" s="275"/>
      <c r="P106" s="275"/>
      <c r="Q106" s="275"/>
      <c r="R106" s="275"/>
      <c r="S106" s="275"/>
      <c r="T106" s="275"/>
      <c r="U106" s="275"/>
      <c r="V106" s="275"/>
      <c r="W106" s="275"/>
      <c r="X106" s="275"/>
      <c r="Y106" s="277"/>
      <c r="Z106" s="275"/>
      <c r="AA106" s="275"/>
      <c r="AB106" s="275"/>
      <c r="AC106" s="275"/>
      <c r="AD106" s="275"/>
      <c r="AE106" s="278"/>
    </row>
    <row r="107" spans="1:31" ht="15.75" x14ac:dyDescent="0.25">
      <c r="A107" s="274"/>
      <c r="B107" s="275"/>
      <c r="C107" s="275"/>
      <c r="D107" s="275"/>
      <c r="E107" s="275"/>
      <c r="F107" s="276"/>
      <c r="G107" s="275"/>
      <c r="H107" s="275"/>
      <c r="I107" s="275"/>
      <c r="J107" s="275"/>
      <c r="K107" s="275"/>
      <c r="L107" s="275"/>
      <c r="M107" s="275"/>
      <c r="N107" s="275"/>
      <c r="O107" s="275"/>
      <c r="P107" s="275"/>
      <c r="Q107" s="275"/>
      <c r="R107" s="275"/>
      <c r="S107" s="275"/>
      <c r="T107" s="275"/>
      <c r="U107" s="275"/>
      <c r="V107" s="275"/>
      <c r="W107" s="275"/>
      <c r="X107" s="275"/>
      <c r="Y107" s="277"/>
      <c r="Z107" s="275"/>
      <c r="AA107" s="275"/>
      <c r="AB107" s="275"/>
      <c r="AC107" s="275"/>
      <c r="AD107" s="275"/>
      <c r="AE107" s="278"/>
    </row>
    <row r="108" spans="1:31" ht="15.75" x14ac:dyDescent="0.25">
      <c r="A108" s="271" t="s">
        <v>228</v>
      </c>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c r="Z108" s="272"/>
      <c r="AA108" s="272"/>
      <c r="AB108" s="272"/>
      <c r="AC108" s="272"/>
      <c r="AD108" s="272"/>
      <c r="AE108" s="273"/>
    </row>
    <row r="109" spans="1:31" ht="15.75" x14ac:dyDescent="0.25">
      <c r="A109" s="274"/>
      <c r="B109" s="275"/>
      <c r="C109" s="275"/>
      <c r="D109" s="275"/>
      <c r="E109" s="275"/>
      <c r="F109" s="276" t="s">
        <v>229</v>
      </c>
      <c r="G109" s="275"/>
      <c r="H109" s="275"/>
      <c r="I109" s="275"/>
      <c r="J109" s="275"/>
      <c r="K109" s="275"/>
      <c r="L109" s="275"/>
      <c r="M109" s="275"/>
      <c r="N109" s="275"/>
      <c r="O109" s="275"/>
      <c r="P109" s="275"/>
      <c r="Q109" s="275"/>
      <c r="R109" s="275"/>
      <c r="S109" s="275"/>
      <c r="T109" s="275"/>
      <c r="U109" s="275"/>
      <c r="V109" s="275"/>
      <c r="W109" s="275"/>
      <c r="X109" s="275"/>
      <c r="Y109" s="277"/>
      <c r="Z109" s="275"/>
      <c r="AA109" s="275"/>
      <c r="AB109" s="275"/>
      <c r="AC109" s="275"/>
      <c r="AD109" s="275"/>
      <c r="AE109" s="278"/>
    </row>
    <row r="110" spans="1:31" ht="15.75" x14ac:dyDescent="0.25">
      <c r="A110" s="271" t="s">
        <v>230</v>
      </c>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c r="AA110" s="272"/>
      <c r="AB110" s="272"/>
      <c r="AC110" s="272"/>
      <c r="AD110" s="272"/>
      <c r="AE110" s="273"/>
    </row>
    <row r="111" spans="1:31" ht="15.75" x14ac:dyDescent="0.25">
      <c r="A111" s="274"/>
      <c r="B111" s="275"/>
      <c r="C111" s="275"/>
      <c r="D111" s="275"/>
      <c r="E111" s="275"/>
      <c r="F111" s="276" t="s">
        <v>231</v>
      </c>
      <c r="G111" s="275"/>
      <c r="H111" s="275"/>
      <c r="I111" s="275"/>
      <c r="J111" s="275"/>
      <c r="K111" s="275"/>
      <c r="L111" s="275"/>
      <c r="M111" s="275"/>
      <c r="N111" s="275"/>
      <c r="O111" s="275"/>
      <c r="P111" s="275"/>
      <c r="Q111" s="275"/>
      <c r="R111" s="275"/>
      <c r="S111" s="275"/>
      <c r="T111" s="275"/>
      <c r="U111" s="275"/>
      <c r="V111" s="275"/>
      <c r="W111" s="275"/>
      <c r="X111" s="275"/>
      <c r="Y111" s="277"/>
      <c r="Z111" s="275"/>
      <c r="AA111" s="275"/>
      <c r="AB111" s="275"/>
      <c r="AC111" s="275"/>
      <c r="AD111" s="275"/>
      <c r="AE111" s="278"/>
    </row>
    <row r="112" spans="1:31" ht="15.75" x14ac:dyDescent="0.25">
      <c r="A112" s="271" t="s">
        <v>232</v>
      </c>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c r="Z112" s="272"/>
      <c r="AA112" s="272"/>
      <c r="AB112" s="272"/>
      <c r="AC112" s="272"/>
      <c r="AD112" s="272"/>
      <c r="AE112" s="273"/>
    </row>
    <row r="113" spans="1:31" ht="15.75" x14ac:dyDescent="0.25">
      <c r="A113" s="274" t="s">
        <v>233</v>
      </c>
      <c r="B113" s="271" t="s">
        <v>234</v>
      </c>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c r="Z113" s="272"/>
      <c r="AA113" s="272"/>
      <c r="AB113" s="272"/>
      <c r="AC113" s="272"/>
      <c r="AD113" s="272"/>
      <c r="AE113" s="273"/>
    </row>
    <row r="114" spans="1:31" ht="15.75" x14ac:dyDescent="0.25">
      <c r="A114" s="274" t="s">
        <v>233</v>
      </c>
      <c r="B114" s="271" t="s">
        <v>235</v>
      </c>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c r="Z114" s="272"/>
      <c r="AA114" s="272"/>
      <c r="AB114" s="272"/>
      <c r="AC114" s="272"/>
      <c r="AD114" s="272"/>
      <c r="AE114" s="273"/>
    </row>
    <row r="115" spans="1:31" ht="15.75" x14ac:dyDescent="0.25">
      <c r="A115" s="274"/>
      <c r="B115" s="275"/>
      <c r="C115" s="275"/>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c r="AA115" s="275"/>
      <c r="AB115" s="275"/>
      <c r="AC115" s="275"/>
      <c r="AD115" s="275"/>
      <c r="AE115" s="278"/>
    </row>
    <row r="116" spans="1:31" ht="15.75" x14ac:dyDescent="0.25">
      <c r="A116" s="271" t="s">
        <v>236</v>
      </c>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c r="AA116" s="272"/>
      <c r="AB116" s="272"/>
      <c r="AC116" s="272"/>
      <c r="AD116" s="272"/>
      <c r="AE116" s="273"/>
    </row>
    <row r="117" spans="1:31" ht="15.75" x14ac:dyDescent="0.25">
      <c r="A117" s="274"/>
      <c r="B117" s="275"/>
      <c r="C117" s="275"/>
      <c r="D117" s="275"/>
      <c r="E117" s="275"/>
      <c r="F117" s="275"/>
      <c r="G117" s="276" t="s">
        <v>237</v>
      </c>
      <c r="H117" s="275"/>
      <c r="I117" s="275"/>
      <c r="J117" s="275"/>
      <c r="K117" s="275"/>
      <c r="L117" s="275"/>
      <c r="M117" s="275"/>
      <c r="N117" s="275"/>
      <c r="O117" s="275"/>
      <c r="P117" s="275"/>
      <c r="Q117" s="275"/>
      <c r="R117" s="275"/>
      <c r="S117" s="275"/>
      <c r="T117" s="275"/>
      <c r="U117" s="275"/>
      <c r="V117" s="275"/>
      <c r="W117" s="275"/>
      <c r="X117" s="275"/>
      <c r="Y117" s="277"/>
      <c r="Z117" s="275"/>
      <c r="AA117" s="275"/>
      <c r="AB117" s="275"/>
      <c r="AC117" s="275"/>
      <c r="AD117" s="275"/>
      <c r="AE117" s="278"/>
    </row>
    <row r="118" spans="1:31" ht="15.75" x14ac:dyDescent="0.25">
      <c r="A118" s="274"/>
      <c r="B118" s="275"/>
      <c r="C118" s="275"/>
      <c r="D118" s="275"/>
      <c r="E118" s="275"/>
      <c r="F118" s="275"/>
      <c r="G118" s="276" t="s">
        <v>238</v>
      </c>
      <c r="H118" s="275"/>
      <c r="I118" s="275"/>
      <c r="J118" s="275"/>
      <c r="K118" s="275"/>
      <c r="L118" s="275"/>
      <c r="M118" s="275"/>
      <c r="N118" s="275"/>
      <c r="O118" s="275"/>
      <c r="P118" s="275"/>
      <c r="Q118" s="275"/>
      <c r="R118" s="275"/>
      <c r="S118" s="275"/>
      <c r="T118" s="275"/>
      <c r="U118" s="275"/>
      <c r="V118" s="275"/>
      <c r="W118" s="275"/>
      <c r="X118" s="275"/>
      <c r="Y118" s="277"/>
      <c r="Z118" s="275"/>
      <c r="AA118" s="275"/>
      <c r="AB118" s="275"/>
      <c r="AC118" s="275"/>
      <c r="AD118" s="275"/>
      <c r="AE118" s="278"/>
    </row>
    <row r="119" spans="1:31" ht="15.75" x14ac:dyDescent="0.25">
      <c r="A119" s="274"/>
      <c r="B119" s="275"/>
      <c r="C119" s="275"/>
      <c r="D119" s="275"/>
      <c r="E119" s="275"/>
      <c r="F119" s="275"/>
      <c r="G119" s="276" t="s">
        <v>239</v>
      </c>
      <c r="H119" s="275"/>
      <c r="I119" s="275"/>
      <c r="J119" s="275"/>
      <c r="K119" s="275"/>
      <c r="L119" s="275"/>
      <c r="M119" s="275"/>
      <c r="N119" s="275"/>
      <c r="O119" s="275"/>
      <c r="P119" s="275"/>
      <c r="Q119" s="275"/>
      <c r="R119" s="275"/>
      <c r="S119" s="275"/>
      <c r="T119" s="275"/>
      <c r="U119" s="275"/>
      <c r="V119" s="275"/>
      <c r="W119" s="275"/>
      <c r="X119" s="275"/>
      <c r="Y119" s="277"/>
      <c r="Z119" s="275"/>
      <c r="AA119" s="275"/>
      <c r="AB119" s="275"/>
      <c r="AC119" s="275"/>
      <c r="AD119" s="275"/>
      <c r="AE119" s="278"/>
    </row>
    <row r="120" spans="1:31" ht="15.75" x14ac:dyDescent="0.25">
      <c r="A120" s="274"/>
      <c r="B120" s="275"/>
      <c r="C120" s="275"/>
      <c r="D120" s="275"/>
      <c r="E120" s="275"/>
      <c r="F120" s="275"/>
      <c r="G120" s="276" t="s">
        <v>240</v>
      </c>
      <c r="H120" s="275"/>
      <c r="I120" s="275"/>
      <c r="J120" s="275"/>
      <c r="K120" s="275"/>
      <c r="L120" s="275"/>
      <c r="M120" s="275"/>
      <c r="N120" s="275"/>
      <c r="O120" s="275"/>
      <c r="P120" s="275"/>
      <c r="Q120" s="275"/>
      <c r="R120" s="275"/>
      <c r="S120" s="275"/>
      <c r="T120" s="275"/>
      <c r="U120" s="275"/>
      <c r="V120" s="275"/>
      <c r="W120" s="275"/>
      <c r="X120" s="275"/>
      <c r="Y120" s="277"/>
      <c r="Z120" s="275"/>
      <c r="AA120" s="275"/>
      <c r="AB120" s="275"/>
      <c r="AC120" s="275"/>
      <c r="AD120" s="275"/>
      <c r="AE120" s="278"/>
    </row>
    <row r="121" spans="1:31" ht="15.75" x14ac:dyDescent="0.25">
      <c r="A121" s="274"/>
      <c r="B121" s="275"/>
      <c r="C121" s="275"/>
      <c r="D121" s="275"/>
      <c r="E121" s="275"/>
      <c r="F121" s="275"/>
      <c r="G121" s="276" t="s">
        <v>241</v>
      </c>
      <c r="H121" s="275"/>
      <c r="I121" s="275"/>
      <c r="J121" s="275"/>
      <c r="K121" s="275"/>
      <c r="L121" s="275"/>
      <c r="M121" s="275"/>
      <c r="N121" s="275"/>
      <c r="O121" s="275"/>
      <c r="P121" s="275"/>
      <c r="Q121" s="275"/>
      <c r="R121" s="275"/>
      <c r="S121" s="275"/>
      <c r="T121" s="275"/>
      <c r="U121" s="275"/>
      <c r="V121" s="275"/>
      <c r="W121" s="275"/>
      <c r="X121" s="275"/>
      <c r="Y121" s="277"/>
      <c r="Z121" s="275"/>
      <c r="AA121" s="275"/>
      <c r="AB121" s="275"/>
      <c r="AC121" s="275"/>
      <c r="AD121" s="275"/>
      <c r="AE121" s="278"/>
    </row>
    <row r="122" spans="1:31" ht="15.75" x14ac:dyDescent="0.25">
      <c r="A122" s="274"/>
      <c r="B122" s="275"/>
      <c r="C122" s="275"/>
      <c r="D122" s="275"/>
      <c r="E122" s="275"/>
      <c r="F122" s="275"/>
      <c r="G122" s="276" t="s">
        <v>242</v>
      </c>
      <c r="H122" s="275"/>
      <c r="I122" s="275"/>
      <c r="J122" s="275"/>
      <c r="K122" s="275"/>
      <c r="L122" s="275"/>
      <c r="M122" s="275"/>
      <c r="N122" s="275"/>
      <c r="O122" s="275"/>
      <c r="P122" s="275"/>
      <c r="Q122" s="275"/>
      <c r="R122" s="275"/>
      <c r="S122" s="275"/>
      <c r="T122" s="275"/>
      <c r="U122" s="275"/>
      <c r="V122" s="275"/>
      <c r="W122" s="275"/>
      <c r="X122" s="275"/>
      <c r="Y122" s="277"/>
      <c r="Z122" s="275"/>
      <c r="AA122" s="275"/>
      <c r="AB122" s="275"/>
      <c r="AC122" s="275"/>
      <c r="AD122" s="275"/>
      <c r="AE122" s="278"/>
    </row>
    <row r="123" spans="1:31" ht="15.75" x14ac:dyDescent="0.25">
      <c r="A123" s="274"/>
      <c r="B123" s="275"/>
      <c r="C123" s="275"/>
      <c r="D123" s="275"/>
      <c r="E123" s="275"/>
      <c r="F123" s="275"/>
      <c r="G123" s="276"/>
      <c r="H123" s="275"/>
      <c r="I123" s="275"/>
      <c r="J123" s="275"/>
      <c r="K123" s="275"/>
      <c r="L123" s="275"/>
      <c r="M123" s="275"/>
      <c r="N123" s="275"/>
      <c r="O123" s="275"/>
      <c r="P123" s="275"/>
      <c r="Q123" s="275"/>
      <c r="R123" s="275"/>
      <c r="S123" s="275"/>
      <c r="T123" s="275"/>
      <c r="U123" s="275"/>
      <c r="V123" s="275"/>
      <c r="W123" s="275"/>
      <c r="X123" s="275"/>
      <c r="Y123" s="277"/>
      <c r="Z123" s="275"/>
      <c r="AA123" s="275"/>
      <c r="AB123" s="275"/>
      <c r="AC123" s="275"/>
      <c r="AD123" s="275"/>
      <c r="AE123" s="278"/>
    </row>
    <row r="124" spans="1:31" ht="15.75" x14ac:dyDescent="0.25">
      <c r="A124" s="271" t="s">
        <v>243</v>
      </c>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c r="AA124" s="272"/>
      <c r="AB124" s="272"/>
      <c r="AC124" s="272"/>
      <c r="AD124" s="272"/>
      <c r="AE124" s="273"/>
    </row>
    <row r="125" spans="1:31" ht="15.75" x14ac:dyDescent="0.25">
      <c r="A125" s="274"/>
      <c r="B125" s="275"/>
      <c r="C125" s="275"/>
      <c r="D125" s="275"/>
      <c r="E125" s="275"/>
      <c r="F125" s="275"/>
      <c r="G125" s="276" t="s">
        <v>244</v>
      </c>
      <c r="H125" s="275"/>
      <c r="I125" s="275"/>
      <c r="J125" s="275"/>
      <c r="K125" s="275"/>
      <c r="L125" s="275"/>
      <c r="M125" s="275"/>
      <c r="N125" s="275"/>
      <c r="O125" s="275"/>
      <c r="P125" s="275"/>
      <c r="Q125" s="275"/>
      <c r="R125" s="275"/>
      <c r="S125" s="275"/>
      <c r="T125" s="275"/>
      <c r="U125" s="275"/>
      <c r="V125" s="275"/>
      <c r="W125" s="275"/>
      <c r="X125" s="275"/>
      <c r="Y125" s="277"/>
      <c r="Z125" s="275"/>
      <c r="AA125" s="275"/>
      <c r="AB125" s="275"/>
      <c r="AC125" s="275"/>
      <c r="AD125" s="275"/>
      <c r="AE125" s="278"/>
    </row>
    <row r="126" spans="1:31" ht="15.75" x14ac:dyDescent="0.25">
      <c r="A126" s="274"/>
      <c r="B126" s="275"/>
      <c r="C126" s="275"/>
      <c r="D126" s="275"/>
      <c r="E126" s="275"/>
      <c r="F126" s="275"/>
      <c r="G126" s="276" t="s">
        <v>245</v>
      </c>
      <c r="H126" s="275"/>
      <c r="I126" s="275"/>
      <c r="J126" s="275"/>
      <c r="K126" s="275"/>
      <c r="L126" s="275"/>
      <c r="M126" s="275"/>
      <c r="N126" s="275"/>
      <c r="O126" s="275"/>
      <c r="P126" s="275"/>
      <c r="Q126" s="275"/>
      <c r="R126" s="275"/>
      <c r="S126" s="275"/>
      <c r="T126" s="275"/>
      <c r="U126" s="275"/>
      <c r="V126" s="275"/>
      <c r="W126" s="275"/>
      <c r="X126" s="275"/>
      <c r="Y126" s="277"/>
      <c r="Z126" s="275"/>
      <c r="AA126" s="275"/>
      <c r="AB126" s="275"/>
      <c r="AC126" s="275"/>
      <c r="AD126" s="275"/>
      <c r="AE126" s="278"/>
    </row>
    <row r="127" spans="1:31" ht="15.75" x14ac:dyDescent="0.25">
      <c r="A127" s="274"/>
      <c r="B127" s="275"/>
      <c r="C127" s="275"/>
      <c r="D127" s="275"/>
      <c r="E127" s="275"/>
      <c r="F127" s="275"/>
      <c r="G127" s="276" t="s">
        <v>246</v>
      </c>
      <c r="H127" s="275"/>
      <c r="I127" s="275"/>
      <c r="J127" s="275"/>
      <c r="K127" s="275"/>
      <c r="L127" s="275"/>
      <c r="M127" s="275"/>
      <c r="N127" s="275"/>
      <c r="O127" s="275"/>
      <c r="P127" s="275"/>
      <c r="Q127" s="275"/>
      <c r="R127" s="275"/>
      <c r="S127" s="275"/>
      <c r="T127" s="275"/>
      <c r="U127" s="275"/>
      <c r="V127" s="275"/>
      <c r="W127" s="275"/>
      <c r="X127" s="275"/>
      <c r="Y127" s="277"/>
      <c r="Z127" s="275"/>
      <c r="AA127" s="275"/>
      <c r="AB127" s="275"/>
      <c r="AC127" s="275"/>
      <c r="AD127" s="275"/>
      <c r="AE127" s="278"/>
    </row>
    <row r="128" spans="1:31" ht="15.75" x14ac:dyDescent="0.25">
      <c r="A128" s="274"/>
      <c r="B128" s="275"/>
      <c r="C128" s="275"/>
      <c r="D128" s="275"/>
      <c r="E128" s="275"/>
      <c r="F128" s="275"/>
      <c r="G128" s="276" t="s">
        <v>247</v>
      </c>
      <c r="H128" s="275"/>
      <c r="I128" s="275"/>
      <c r="J128" s="275"/>
      <c r="K128" s="275"/>
      <c r="L128" s="275"/>
      <c r="M128" s="275"/>
      <c r="N128" s="275"/>
      <c r="O128" s="275"/>
      <c r="P128" s="275"/>
      <c r="Q128" s="275"/>
      <c r="R128" s="275"/>
      <c r="S128" s="275"/>
      <c r="T128" s="275"/>
      <c r="U128" s="275"/>
      <c r="V128" s="275"/>
      <c r="W128" s="275"/>
      <c r="X128" s="275"/>
      <c r="Y128" s="277"/>
      <c r="Z128" s="275"/>
      <c r="AA128" s="275"/>
      <c r="AB128" s="275"/>
      <c r="AC128" s="275"/>
      <c r="AD128" s="275"/>
      <c r="AE128" s="278"/>
    </row>
    <row r="129" spans="1:31" ht="15.75" x14ac:dyDescent="0.25">
      <c r="A129" s="274"/>
      <c r="B129" s="275"/>
      <c r="C129" s="275"/>
      <c r="D129" s="275"/>
      <c r="E129" s="275"/>
      <c r="F129" s="275"/>
      <c r="G129" s="276" t="s">
        <v>248</v>
      </c>
      <c r="H129" s="275"/>
      <c r="I129" s="275"/>
      <c r="J129" s="275"/>
      <c r="K129" s="275"/>
      <c r="L129" s="275"/>
      <c r="M129" s="275"/>
      <c r="N129" s="275"/>
      <c r="O129" s="275"/>
      <c r="P129" s="275"/>
      <c r="Q129" s="275"/>
      <c r="R129" s="275"/>
      <c r="S129" s="275"/>
      <c r="T129" s="275"/>
      <c r="U129" s="275"/>
      <c r="V129" s="275"/>
      <c r="W129" s="275"/>
      <c r="X129" s="275"/>
      <c r="Y129" s="277"/>
      <c r="Z129" s="275"/>
      <c r="AA129" s="275"/>
      <c r="AB129" s="275"/>
      <c r="AC129" s="275"/>
      <c r="AD129" s="275"/>
      <c r="AE129" s="278"/>
    </row>
    <row r="130" spans="1:31" ht="15.75" x14ac:dyDescent="0.25">
      <c r="A130" s="274"/>
      <c r="B130" s="275"/>
      <c r="C130" s="275"/>
      <c r="D130" s="275"/>
      <c r="E130" s="275"/>
      <c r="F130" s="275"/>
      <c r="G130" s="276" t="s">
        <v>249</v>
      </c>
      <c r="H130" s="275"/>
      <c r="I130" s="275"/>
      <c r="J130" s="275"/>
      <c r="K130" s="275"/>
      <c r="L130" s="275"/>
      <c r="M130" s="275"/>
      <c r="N130" s="275"/>
      <c r="O130" s="275"/>
      <c r="P130" s="275"/>
      <c r="Q130" s="275"/>
      <c r="R130" s="275"/>
      <c r="S130" s="275"/>
      <c r="T130" s="275"/>
      <c r="U130" s="275"/>
      <c r="V130" s="275"/>
      <c r="W130" s="275"/>
      <c r="X130" s="275"/>
      <c r="Y130" s="277"/>
      <c r="Z130" s="275"/>
      <c r="AA130" s="275"/>
      <c r="AB130" s="275"/>
      <c r="AC130" s="275"/>
      <c r="AD130" s="275"/>
      <c r="AE130" s="278"/>
    </row>
    <row r="131" spans="1:31" ht="15.75" x14ac:dyDescent="0.25">
      <c r="A131" s="279"/>
      <c r="B131" s="263"/>
      <c r="C131" s="263"/>
      <c r="D131" s="263"/>
      <c r="E131" s="263"/>
      <c r="F131" s="263"/>
      <c r="G131" s="276" t="s">
        <v>250</v>
      </c>
      <c r="H131" s="269"/>
      <c r="I131" s="263"/>
      <c r="J131" s="263"/>
      <c r="K131" s="263"/>
      <c r="L131" s="263"/>
      <c r="M131" s="263"/>
      <c r="N131" s="263"/>
      <c r="O131" s="263"/>
      <c r="P131" s="263"/>
      <c r="Q131" s="263"/>
      <c r="R131" s="263"/>
      <c r="S131" s="263"/>
      <c r="T131" s="263"/>
      <c r="U131" s="263"/>
      <c r="V131" s="263"/>
      <c r="W131" s="263"/>
      <c r="X131" s="263"/>
      <c r="Y131" s="269"/>
      <c r="Z131" s="263"/>
      <c r="AA131" s="263"/>
      <c r="AB131" s="263"/>
      <c r="AC131" s="263"/>
      <c r="AD131" s="263"/>
      <c r="AE131" s="266"/>
    </row>
    <row r="132" spans="1:31" ht="15.75" x14ac:dyDescent="0.25">
      <c r="A132" s="280"/>
      <c r="B132" s="280"/>
      <c r="C132" s="280"/>
      <c r="D132" s="280"/>
      <c r="E132" s="280"/>
      <c r="F132" s="280"/>
      <c r="G132" s="280"/>
      <c r="H132" s="281"/>
      <c r="I132" s="280"/>
      <c r="J132" s="282"/>
      <c r="K132" s="280"/>
      <c r="L132" s="282"/>
      <c r="M132" s="280"/>
      <c r="N132" s="280"/>
      <c r="O132" s="280"/>
      <c r="P132" s="280"/>
      <c r="Q132" s="280"/>
      <c r="R132" s="282"/>
      <c r="S132" s="280"/>
      <c r="T132" s="280"/>
      <c r="U132" s="280"/>
      <c r="V132" s="280"/>
      <c r="W132" s="280"/>
      <c r="X132" s="280"/>
      <c r="Y132" s="281"/>
      <c r="Z132" s="280"/>
      <c r="AA132" s="280"/>
      <c r="AB132" s="280"/>
      <c r="AC132" s="280"/>
      <c r="AD132" s="280"/>
      <c r="AE132" s="280"/>
    </row>
    <row r="133" spans="1:31" ht="15.75" x14ac:dyDescent="0.25">
      <c r="A133" s="280"/>
      <c r="B133" s="280"/>
      <c r="C133" s="280"/>
      <c r="D133" s="280"/>
      <c r="E133" s="280"/>
      <c r="F133" s="280"/>
      <c r="G133" s="280"/>
      <c r="H133" s="281"/>
      <c r="I133" s="280"/>
      <c r="J133" s="280"/>
      <c r="K133" s="280"/>
      <c r="L133" s="280"/>
      <c r="M133" s="280"/>
      <c r="N133" s="282"/>
      <c r="O133" s="280"/>
      <c r="P133" s="283"/>
      <c r="Q133" s="280"/>
      <c r="R133" s="282"/>
      <c r="S133" s="280"/>
      <c r="T133" s="280"/>
      <c r="U133" s="280"/>
      <c r="V133" s="280"/>
      <c r="W133" s="280"/>
      <c r="X133" s="280"/>
      <c r="Y133" s="281"/>
      <c r="Z133" s="280"/>
      <c r="AA133" s="280"/>
      <c r="AB133" s="280"/>
      <c r="AC133" s="280"/>
      <c r="AD133" s="280"/>
      <c r="AE133" s="280"/>
    </row>
    <row r="134" spans="1:31" ht="15.75" x14ac:dyDescent="0.25">
      <c r="A134" s="280"/>
      <c r="B134" s="280"/>
      <c r="C134" s="280"/>
      <c r="D134" s="280"/>
      <c r="E134" s="280"/>
      <c r="F134" s="280"/>
      <c r="G134" s="280"/>
      <c r="H134" s="281"/>
      <c r="I134" s="280"/>
      <c r="J134" s="284"/>
      <c r="K134" s="284"/>
      <c r="L134" s="284"/>
      <c r="M134" s="284"/>
      <c r="N134" s="284"/>
      <c r="O134" s="284"/>
      <c r="P134" s="284"/>
      <c r="Q134" s="284"/>
      <c r="R134" s="285"/>
      <c r="S134" s="286"/>
      <c r="T134" s="11"/>
      <c r="U134" s="287"/>
      <c r="V134" s="287"/>
      <c r="W134" s="287"/>
      <c r="X134" s="287" t="s">
        <v>251</v>
      </c>
      <c r="Y134" s="287"/>
      <c r="Z134" s="287"/>
      <c r="AA134" s="287"/>
      <c r="AB134" s="288"/>
      <c r="AC134" s="280"/>
      <c r="AD134" s="280"/>
      <c r="AE134" s="280"/>
    </row>
    <row r="135" spans="1:31" ht="15.75" x14ac:dyDescent="0.25">
      <c r="A135" s="280"/>
      <c r="B135" s="280"/>
      <c r="C135" s="280"/>
      <c r="D135" s="280"/>
      <c r="E135" s="280"/>
      <c r="F135" s="280"/>
      <c r="G135" s="280"/>
      <c r="H135" s="281"/>
      <c r="I135" s="280"/>
      <c r="J135" s="284"/>
      <c r="K135" s="284"/>
      <c r="L135" s="284"/>
      <c r="M135" s="284"/>
      <c r="N135" s="284"/>
      <c r="O135" s="284"/>
      <c r="P135" s="284"/>
      <c r="Q135" s="284"/>
      <c r="R135" s="284"/>
      <c r="S135" s="286"/>
      <c r="T135" s="11"/>
      <c r="U135" s="287"/>
      <c r="V135" s="287"/>
      <c r="W135" s="287"/>
      <c r="X135" s="287" t="s">
        <v>252</v>
      </c>
      <c r="Y135" s="287"/>
      <c r="Z135" s="287"/>
      <c r="AA135" s="287"/>
      <c r="AB135" s="287"/>
      <c r="AC135" s="280"/>
      <c r="AD135" s="280"/>
      <c r="AE135" s="280"/>
    </row>
    <row r="136" spans="1:31" ht="15.75" x14ac:dyDescent="0.25">
      <c r="A136" s="11"/>
      <c r="B136" s="11"/>
      <c r="C136" s="11"/>
      <c r="D136" s="11"/>
      <c r="E136" s="11"/>
      <c r="F136" s="11"/>
      <c r="G136" s="11"/>
      <c r="H136" s="15"/>
      <c r="I136" s="11"/>
      <c r="J136" s="289"/>
      <c r="K136" s="289"/>
      <c r="L136" s="289"/>
      <c r="M136" s="289"/>
      <c r="N136" s="289"/>
      <c r="O136" s="289"/>
      <c r="P136" s="289"/>
      <c r="Q136" s="289"/>
      <c r="R136" s="289"/>
      <c r="S136" s="290"/>
      <c r="T136" s="11"/>
      <c r="U136" s="291"/>
      <c r="V136" s="291"/>
      <c r="W136" s="291"/>
      <c r="X136" s="292" t="s">
        <v>253</v>
      </c>
      <c r="Y136" s="292"/>
      <c r="Z136" s="292"/>
      <c r="AA136" s="292"/>
      <c r="AB136" s="291"/>
      <c r="AC136" s="11"/>
      <c r="AD136" s="11"/>
      <c r="AE136" s="11"/>
    </row>
    <row r="137" spans="1:31" ht="15.75" x14ac:dyDescent="0.25">
      <c r="A137" s="11"/>
      <c r="B137" s="11"/>
      <c r="C137" s="11"/>
      <c r="D137" s="11"/>
      <c r="E137" s="11"/>
      <c r="F137" s="11"/>
      <c r="G137" s="11"/>
      <c r="H137" s="15"/>
      <c r="I137" s="11"/>
      <c r="J137" s="289"/>
      <c r="K137" s="289"/>
      <c r="L137" s="289"/>
      <c r="M137" s="289"/>
      <c r="N137" s="289"/>
      <c r="O137" s="289"/>
      <c r="P137" s="289"/>
      <c r="Q137" s="289"/>
      <c r="R137" s="289"/>
      <c r="S137" s="290"/>
      <c r="T137" s="11"/>
      <c r="U137" s="291"/>
      <c r="V137" s="291"/>
      <c r="W137" s="291"/>
      <c r="X137" s="292" t="s">
        <v>254</v>
      </c>
      <c r="Y137" s="292"/>
      <c r="Z137" s="292"/>
      <c r="AA137" s="292"/>
      <c r="AB137" s="291"/>
      <c r="AC137" s="11"/>
      <c r="AD137" s="11"/>
      <c r="AE137" s="11"/>
    </row>
    <row r="138" spans="1:31" ht="15.75" x14ac:dyDescent="0.25">
      <c r="A138" s="11"/>
      <c r="B138" s="11"/>
      <c r="C138" s="11"/>
      <c r="D138" s="11"/>
      <c r="E138" s="11"/>
      <c r="F138" s="11"/>
      <c r="G138" s="11"/>
      <c r="H138" s="15"/>
      <c r="I138" s="11"/>
      <c r="J138" s="289"/>
      <c r="K138" s="289"/>
      <c r="L138" s="289"/>
      <c r="M138" s="289"/>
      <c r="N138" s="289"/>
      <c r="O138" s="289"/>
      <c r="P138" s="289"/>
      <c r="Q138" s="289"/>
      <c r="R138" s="289"/>
      <c r="S138" s="290"/>
      <c r="T138" s="11"/>
      <c r="U138" s="291"/>
      <c r="V138" s="291"/>
      <c r="W138" s="291"/>
      <c r="X138" s="292" t="s">
        <v>255</v>
      </c>
      <c r="Y138" s="292"/>
      <c r="Z138" s="292"/>
      <c r="AA138" s="292"/>
      <c r="AB138" s="291"/>
      <c r="AC138" s="11"/>
      <c r="AD138" s="11"/>
      <c r="AE138" s="11"/>
    </row>
    <row r="139" spans="1:31" ht="18" x14ac:dyDescent="0.25">
      <c r="A139" s="11"/>
      <c r="B139" s="11"/>
      <c r="C139" s="11"/>
      <c r="D139" s="11"/>
      <c r="E139" s="11"/>
      <c r="F139" s="11"/>
      <c r="G139" s="11"/>
      <c r="H139" s="15"/>
      <c r="I139" s="11"/>
      <c r="J139" s="293"/>
      <c r="K139" s="293"/>
      <c r="L139" s="293"/>
      <c r="M139" s="293"/>
      <c r="N139" s="293"/>
      <c r="O139" s="293"/>
      <c r="P139" s="293"/>
      <c r="Q139" s="293"/>
      <c r="R139" s="293"/>
      <c r="S139" s="290"/>
      <c r="T139" s="11"/>
      <c r="U139" s="291"/>
      <c r="V139" s="291"/>
      <c r="W139" s="291"/>
      <c r="X139" s="294"/>
      <c r="Y139" s="292"/>
      <c r="Z139" s="292"/>
      <c r="AA139" s="292"/>
      <c r="AB139" s="291"/>
      <c r="AC139" s="11"/>
      <c r="AD139" s="11"/>
      <c r="AE139" s="11"/>
    </row>
    <row r="140" spans="1:31" ht="18" x14ac:dyDescent="0.25">
      <c r="A140" s="11"/>
      <c r="B140" s="11"/>
      <c r="C140" s="11"/>
      <c r="D140" s="11"/>
      <c r="E140" s="11"/>
      <c r="F140" s="11"/>
      <c r="G140" s="11"/>
      <c r="H140" s="15"/>
      <c r="I140" s="11"/>
      <c r="J140" s="293"/>
      <c r="K140" s="293"/>
      <c r="L140" s="293"/>
      <c r="M140" s="293"/>
      <c r="N140" s="293"/>
      <c r="O140" s="293"/>
      <c r="P140" s="293"/>
      <c r="Q140" s="293"/>
      <c r="R140" s="293"/>
      <c r="S140" s="290"/>
      <c r="T140" s="11"/>
      <c r="U140" s="291"/>
      <c r="V140" s="291"/>
      <c r="W140" s="291"/>
      <c r="X140" s="294"/>
      <c r="Y140" s="292"/>
      <c r="Z140" s="292"/>
      <c r="AA140" s="292"/>
      <c r="AB140" s="291"/>
      <c r="AC140" s="11"/>
      <c r="AD140" s="11"/>
      <c r="AE140" s="11"/>
    </row>
    <row r="141" spans="1:31" ht="18" x14ac:dyDescent="0.25">
      <c r="A141" s="11"/>
      <c r="B141" s="11"/>
      <c r="C141" s="11"/>
      <c r="D141" s="11"/>
      <c r="E141" s="11"/>
      <c r="F141" s="11"/>
      <c r="G141" s="11"/>
      <c r="H141" s="15"/>
      <c r="I141" s="11"/>
      <c r="J141" s="293"/>
      <c r="K141" s="293"/>
      <c r="L141" s="293"/>
      <c r="M141" s="293"/>
      <c r="N141" s="293"/>
      <c r="O141" s="293"/>
      <c r="P141" s="293"/>
      <c r="Q141" s="293"/>
      <c r="R141" s="293"/>
      <c r="S141" s="290"/>
      <c r="T141" s="11"/>
      <c r="U141" s="291"/>
      <c r="V141" s="291"/>
      <c r="W141" s="291"/>
      <c r="X141" s="295"/>
      <c r="Y141" s="292"/>
      <c r="Z141" s="292"/>
      <c r="AA141" s="292"/>
      <c r="AB141" s="291"/>
      <c r="AC141" s="11"/>
      <c r="AD141" s="11"/>
      <c r="AE141" s="11"/>
    </row>
    <row r="142" spans="1:31" ht="15.75" x14ac:dyDescent="0.25">
      <c r="A142" s="11"/>
      <c r="B142" s="11"/>
      <c r="C142" s="11"/>
      <c r="D142" s="11"/>
      <c r="E142" s="11"/>
      <c r="F142" s="11"/>
      <c r="G142" s="11"/>
      <c r="H142" s="15"/>
      <c r="I142" s="11"/>
      <c r="J142" s="296"/>
      <c r="K142" s="290"/>
      <c r="L142" s="290"/>
      <c r="M142" s="290"/>
      <c r="N142" s="290"/>
      <c r="O142" s="290"/>
      <c r="P142" s="293"/>
      <c r="Q142" s="293"/>
      <c r="R142" s="293"/>
      <c r="S142" s="293"/>
      <c r="T142" s="11"/>
      <c r="U142" s="291"/>
      <c r="V142" s="291"/>
      <c r="W142" s="291"/>
      <c r="X142" s="297" t="s">
        <v>256</v>
      </c>
      <c r="Y142" s="298"/>
      <c r="Z142" s="298"/>
      <c r="AA142" s="298"/>
      <c r="AB142" s="299"/>
      <c r="AC142" s="11"/>
      <c r="AD142" s="11"/>
      <c r="AE142" s="11"/>
    </row>
    <row r="143" spans="1:31" ht="18" x14ac:dyDescent="0.25">
      <c r="A143" s="11"/>
      <c r="B143" s="11"/>
      <c r="C143" s="11"/>
      <c r="D143" s="11"/>
      <c r="E143" s="11"/>
      <c r="F143" s="11"/>
      <c r="G143" s="11"/>
      <c r="H143" s="15"/>
      <c r="I143" s="11"/>
      <c r="J143" s="296"/>
      <c r="K143" s="290"/>
      <c r="L143" s="290"/>
      <c r="M143" s="290"/>
      <c r="N143" s="290"/>
      <c r="O143" s="290"/>
      <c r="P143" s="293"/>
      <c r="Q143" s="293"/>
      <c r="R143" s="293"/>
      <c r="S143" s="293"/>
      <c r="T143" s="11"/>
      <c r="U143" s="291"/>
      <c r="V143" s="291"/>
      <c r="W143" s="291"/>
      <c r="X143" s="294"/>
      <c r="Y143" s="298"/>
      <c r="Z143" s="298"/>
      <c r="AA143" s="298"/>
      <c r="AB143" s="299"/>
      <c r="AC143" s="11"/>
      <c r="AD143" s="11"/>
      <c r="AE143" s="11"/>
    </row>
    <row r="144" spans="1:31" ht="18" x14ac:dyDescent="0.25">
      <c r="A144" s="11"/>
      <c r="B144" s="11"/>
      <c r="C144" s="11"/>
      <c r="D144" s="11"/>
      <c r="E144" s="11"/>
      <c r="F144" s="11"/>
      <c r="G144" s="11"/>
      <c r="H144" s="15"/>
      <c r="I144" s="11"/>
      <c r="J144" s="296"/>
      <c r="K144" s="290"/>
      <c r="L144" s="290"/>
      <c r="M144" s="290"/>
      <c r="N144" s="290"/>
      <c r="O144" s="290"/>
      <c r="P144" s="293"/>
      <c r="Q144" s="293"/>
      <c r="R144" s="293"/>
      <c r="S144" s="293"/>
      <c r="T144" s="11"/>
      <c r="U144" s="291"/>
      <c r="V144" s="291"/>
      <c r="W144" s="291"/>
      <c r="X144" s="294"/>
      <c r="Y144" s="298"/>
      <c r="Z144" s="298"/>
      <c r="AA144" s="298"/>
      <c r="AB144" s="299"/>
      <c r="AC144" s="11"/>
      <c r="AD144" s="11"/>
      <c r="AE144" s="11"/>
    </row>
    <row r="145" spans="1:31" ht="18" x14ac:dyDescent="0.25">
      <c r="A145" s="11"/>
      <c r="B145" s="11"/>
      <c r="C145" s="11"/>
      <c r="D145" s="11"/>
      <c r="E145" s="11"/>
      <c r="F145" s="11"/>
      <c r="G145" s="11"/>
      <c r="H145" s="15"/>
      <c r="I145" s="11"/>
      <c r="J145" s="300"/>
      <c r="K145" s="290"/>
      <c r="L145" s="290"/>
      <c r="M145" s="290"/>
      <c r="N145" s="290"/>
      <c r="O145" s="290"/>
      <c r="P145" s="293"/>
      <c r="Q145" s="293"/>
      <c r="R145" s="293"/>
      <c r="S145" s="293"/>
      <c r="T145" s="11"/>
      <c r="U145" s="291"/>
      <c r="V145" s="291"/>
      <c r="W145" s="291"/>
      <c r="X145" s="294"/>
      <c r="Y145" s="298"/>
      <c r="Z145" s="298"/>
      <c r="AA145" s="298"/>
      <c r="AB145" s="299"/>
      <c r="AC145" s="11"/>
      <c r="AD145" s="11"/>
      <c r="AE145" s="11"/>
    </row>
    <row r="146" spans="1:31" ht="15.75" x14ac:dyDescent="0.25">
      <c r="A146" s="11"/>
      <c r="B146" s="11"/>
      <c r="C146" s="11"/>
      <c r="D146" s="11"/>
      <c r="E146" s="11"/>
      <c r="F146" s="11"/>
      <c r="G146" s="11"/>
      <c r="H146" s="15"/>
      <c r="I146" s="11"/>
      <c r="J146" s="296"/>
      <c r="K146" s="296"/>
      <c r="L146" s="296"/>
      <c r="M146" s="296"/>
      <c r="N146" s="296"/>
      <c r="O146" s="296"/>
      <c r="P146" s="296"/>
      <c r="Q146" s="296"/>
      <c r="R146" s="296"/>
      <c r="S146" s="296"/>
      <c r="T146" s="11"/>
      <c r="U146" s="292"/>
      <c r="V146" s="292"/>
      <c r="W146" s="292"/>
      <c r="X146" s="292" t="s">
        <v>257</v>
      </c>
      <c r="Y146" s="298"/>
      <c r="Z146" s="292"/>
      <c r="AA146" s="292"/>
      <c r="AB146" s="292"/>
      <c r="AC146" s="11"/>
      <c r="AD146" s="11"/>
      <c r="AE146" s="11"/>
    </row>
    <row r="147" spans="1:31" ht="15.75" x14ac:dyDescent="0.25">
      <c r="A147" s="11"/>
      <c r="B147" s="11"/>
      <c r="C147" s="11"/>
      <c r="D147" s="11"/>
      <c r="E147" s="11"/>
      <c r="F147" s="11"/>
      <c r="G147" s="11"/>
      <c r="H147" s="15"/>
      <c r="I147" s="11"/>
      <c r="J147" s="296"/>
      <c r="K147" s="296"/>
      <c r="L147" s="296"/>
      <c r="M147" s="296"/>
      <c r="N147" s="296"/>
      <c r="O147" s="296"/>
      <c r="P147" s="296"/>
      <c r="Q147" s="296"/>
      <c r="R147" s="296"/>
      <c r="S147" s="296"/>
      <c r="T147" s="11"/>
      <c r="U147" s="292"/>
      <c r="V147" s="292"/>
      <c r="W147" s="292"/>
      <c r="X147" s="292" t="s">
        <v>258</v>
      </c>
      <c r="Y147" s="298"/>
      <c r="Z147" s="292"/>
      <c r="AA147" s="292"/>
      <c r="AB147" s="292"/>
      <c r="AC147" s="11"/>
      <c r="AD147" s="11"/>
      <c r="AE147" s="11"/>
    </row>
    <row r="148" spans="1:31" ht="15.75" x14ac:dyDescent="0.25">
      <c r="A148" s="11"/>
      <c r="B148" s="11"/>
      <c r="C148" s="11"/>
      <c r="D148" s="11"/>
      <c r="E148" s="11"/>
      <c r="F148" s="11"/>
      <c r="G148" s="11"/>
      <c r="H148" s="15"/>
      <c r="I148" s="11"/>
      <c r="J148" s="296"/>
      <c r="K148" s="296"/>
      <c r="L148" s="296"/>
      <c r="M148" s="296"/>
      <c r="N148" s="296"/>
      <c r="O148" s="296"/>
      <c r="P148" s="296"/>
      <c r="Q148" s="296"/>
      <c r="R148" s="296"/>
      <c r="S148" s="296"/>
      <c r="T148" s="11"/>
      <c r="U148" s="292"/>
      <c r="V148" s="292"/>
      <c r="W148" s="292"/>
      <c r="X148" s="292" t="s">
        <v>259</v>
      </c>
      <c r="Y148" s="298"/>
      <c r="Z148" s="292"/>
      <c r="AA148" s="292"/>
      <c r="AB148" s="292"/>
      <c r="AC148" s="11"/>
      <c r="AD148" s="11"/>
      <c r="AE148" s="11"/>
    </row>
    <row r="157" spans="1:31" ht="15.75" x14ac:dyDescent="0.25">
      <c r="A157" s="301" t="s">
        <v>260</v>
      </c>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row>
    <row r="158" spans="1:31" ht="15.75" x14ac:dyDescent="0.25">
      <c r="A158" s="302" t="s">
        <v>261</v>
      </c>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spans="1:31" ht="15.75" x14ac:dyDescent="0.25">
      <c r="A159" s="302" t="s">
        <v>262</v>
      </c>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spans="1:31" ht="16.5" x14ac:dyDescent="0.3">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c r="AA160" s="303"/>
    </row>
    <row r="161" spans="1:27" ht="16.5" x14ac:dyDescent="0.25">
      <c r="A161" s="304" t="s">
        <v>263</v>
      </c>
      <c r="B161" s="304" t="s">
        <v>264</v>
      </c>
      <c r="C161" s="305" t="s">
        <v>265</v>
      </c>
      <c r="D161" s="306" t="s">
        <v>266</v>
      </c>
      <c r="E161" s="307"/>
      <c r="F161" s="305"/>
      <c r="G161" s="306" t="s">
        <v>267</v>
      </c>
      <c r="H161" s="305"/>
      <c r="I161" s="306" t="s">
        <v>268</v>
      </c>
      <c r="J161" s="305"/>
      <c r="K161" s="308" t="s">
        <v>269</v>
      </c>
      <c r="L161" s="309"/>
      <c r="M161" s="309"/>
      <c r="N161" s="309"/>
      <c r="O161" s="309"/>
      <c r="P161" s="309"/>
      <c r="Q161" s="309"/>
      <c r="R161" s="310"/>
      <c r="S161" s="306" t="s">
        <v>270</v>
      </c>
      <c r="T161" s="305"/>
      <c r="U161" s="306" t="s">
        <v>271</v>
      </c>
      <c r="V161" s="305"/>
      <c r="W161" s="306" t="s">
        <v>272</v>
      </c>
      <c r="X161" s="305"/>
      <c r="Y161" s="306" t="s">
        <v>273</v>
      </c>
      <c r="Z161" s="305"/>
      <c r="AA161" s="305" t="s">
        <v>274</v>
      </c>
    </row>
    <row r="162" spans="1:27" ht="16.5" x14ac:dyDescent="0.25">
      <c r="A162" s="311"/>
      <c r="B162" s="311"/>
      <c r="C162" s="312"/>
      <c r="D162" s="313"/>
      <c r="E162" s="314"/>
      <c r="F162" s="312"/>
      <c r="G162" s="313"/>
      <c r="H162" s="312"/>
      <c r="I162" s="313"/>
      <c r="J162" s="312"/>
      <c r="K162" s="313" t="s">
        <v>23</v>
      </c>
      <c r="L162" s="312"/>
      <c r="M162" s="313" t="s">
        <v>24</v>
      </c>
      <c r="N162" s="312"/>
      <c r="O162" s="313" t="s">
        <v>25</v>
      </c>
      <c r="P162" s="312"/>
      <c r="Q162" s="313" t="s">
        <v>26</v>
      </c>
      <c r="R162" s="312"/>
      <c r="S162" s="313"/>
      <c r="T162" s="312"/>
      <c r="U162" s="313"/>
      <c r="V162" s="312"/>
      <c r="W162" s="313"/>
      <c r="X162" s="312"/>
      <c r="Y162" s="313"/>
      <c r="Z162" s="312"/>
      <c r="AA162" s="312"/>
    </row>
    <row r="163" spans="1:27" ht="16.5" x14ac:dyDescent="0.3">
      <c r="A163" s="315">
        <v>1</v>
      </c>
      <c r="B163" s="315">
        <v>2</v>
      </c>
      <c r="C163" s="315">
        <v>3</v>
      </c>
      <c r="D163" s="316">
        <v>4</v>
      </c>
      <c r="E163" s="317"/>
      <c r="F163" s="318"/>
      <c r="G163" s="319">
        <v>5</v>
      </c>
      <c r="H163" s="319"/>
      <c r="I163" s="319">
        <v>6</v>
      </c>
      <c r="J163" s="319"/>
      <c r="K163" s="319">
        <v>7</v>
      </c>
      <c r="L163" s="319"/>
      <c r="M163" s="319">
        <v>8</v>
      </c>
      <c r="N163" s="319"/>
      <c r="O163" s="319">
        <v>9</v>
      </c>
      <c r="P163" s="319"/>
      <c r="Q163" s="319">
        <v>10</v>
      </c>
      <c r="R163" s="319"/>
      <c r="S163" s="319" t="s">
        <v>275</v>
      </c>
      <c r="T163" s="319"/>
      <c r="U163" s="316" t="s">
        <v>276</v>
      </c>
      <c r="V163" s="318"/>
      <c r="W163" s="319" t="s">
        <v>277</v>
      </c>
      <c r="X163" s="319"/>
      <c r="Y163" s="319" t="s">
        <v>278</v>
      </c>
      <c r="Z163" s="319"/>
      <c r="AA163" s="315">
        <v>15</v>
      </c>
    </row>
    <row r="164" spans="1:27" ht="17.25" thickBot="1" x14ac:dyDescent="0.35">
      <c r="A164" s="315"/>
      <c r="B164" s="315"/>
      <c r="C164" s="315"/>
      <c r="D164" s="320" t="s">
        <v>27</v>
      </c>
      <c r="E164" s="321"/>
      <c r="F164" s="322" t="s">
        <v>28</v>
      </c>
      <c r="G164" s="323" t="s">
        <v>27</v>
      </c>
      <c r="H164" s="322" t="s">
        <v>28</v>
      </c>
      <c r="I164" s="322" t="s">
        <v>27</v>
      </c>
      <c r="J164" s="322" t="s">
        <v>28</v>
      </c>
      <c r="K164" s="322" t="s">
        <v>27</v>
      </c>
      <c r="L164" s="322" t="s">
        <v>28</v>
      </c>
      <c r="M164" s="322" t="s">
        <v>27</v>
      </c>
      <c r="N164" s="322" t="s">
        <v>28</v>
      </c>
      <c r="O164" s="322" t="s">
        <v>27</v>
      </c>
      <c r="P164" s="322" t="s">
        <v>28</v>
      </c>
      <c r="Q164" s="322" t="s">
        <v>27</v>
      </c>
      <c r="R164" s="322" t="s">
        <v>28</v>
      </c>
      <c r="S164" s="322" t="s">
        <v>27</v>
      </c>
      <c r="T164" s="322" t="s">
        <v>28</v>
      </c>
      <c r="U164" s="322" t="s">
        <v>27</v>
      </c>
      <c r="V164" s="322" t="s">
        <v>28</v>
      </c>
      <c r="W164" s="322" t="s">
        <v>27</v>
      </c>
      <c r="X164" s="322" t="s">
        <v>28</v>
      </c>
      <c r="Y164" s="322" t="s">
        <v>27</v>
      </c>
      <c r="Z164" s="324" t="s">
        <v>28</v>
      </c>
      <c r="AA164" s="315"/>
    </row>
    <row r="165" spans="1:27" ht="16.5" x14ac:dyDescent="0.3">
      <c r="A165" s="325" t="s">
        <v>279</v>
      </c>
      <c r="B165" s="326"/>
      <c r="C165" s="326"/>
      <c r="D165" s="326"/>
      <c r="E165" s="326"/>
      <c r="F165" s="326"/>
      <c r="G165" s="326"/>
      <c r="H165" s="326"/>
      <c r="I165" s="326"/>
      <c r="J165" s="326"/>
      <c r="K165" s="326"/>
      <c r="L165" s="326"/>
      <c r="M165" s="326"/>
      <c r="N165" s="326"/>
      <c r="O165" s="326"/>
      <c r="P165" s="326"/>
      <c r="Q165" s="326"/>
      <c r="R165" s="326"/>
      <c r="S165" s="326"/>
      <c r="T165" s="326"/>
      <c r="U165" s="326"/>
      <c r="V165" s="326"/>
      <c r="W165" s="326"/>
      <c r="X165" s="327"/>
      <c r="Y165" s="328"/>
      <c r="Z165" s="328"/>
      <c r="AA165" s="328"/>
    </row>
    <row r="166" spans="1:27" ht="148.5" x14ac:dyDescent="0.25">
      <c r="A166" s="329" t="s">
        <v>280</v>
      </c>
      <c r="B166" s="330" t="s">
        <v>147</v>
      </c>
      <c r="C166" s="331" t="s">
        <v>148</v>
      </c>
      <c r="D166" s="332" t="s">
        <v>43</v>
      </c>
      <c r="E166" s="333">
        <v>84.5</v>
      </c>
      <c r="F166" s="334">
        <v>1358625000</v>
      </c>
      <c r="G166" s="335"/>
      <c r="H166" s="336">
        <v>553153283</v>
      </c>
      <c r="I166" s="337">
        <v>83</v>
      </c>
      <c r="J166" s="338">
        <v>279285285</v>
      </c>
      <c r="K166" s="339">
        <f>'[1]renja 2026'!O220</f>
        <v>0</v>
      </c>
      <c r="L166" s="340">
        <v>13126225</v>
      </c>
      <c r="M166" s="341">
        <f>'[1]renja 2026'!Q220</f>
        <v>0</v>
      </c>
      <c r="N166" s="340">
        <v>181450000</v>
      </c>
      <c r="O166" s="342"/>
      <c r="P166" s="343"/>
      <c r="Q166" s="344"/>
      <c r="R166" s="345"/>
      <c r="S166" s="346">
        <f t="shared" ref="S166:T173" si="43">K166+M166+O166+Q166</f>
        <v>0</v>
      </c>
      <c r="T166" s="347">
        <f t="shared" si="43"/>
        <v>194576225</v>
      </c>
      <c r="U166" s="348">
        <f>S166/I166*100</f>
        <v>0</v>
      </c>
      <c r="V166" s="349">
        <f>T166/J166*100</f>
        <v>69.669343660551249</v>
      </c>
      <c r="W166" s="350">
        <f>I166+S166</f>
        <v>83</v>
      </c>
      <c r="X166" s="351">
        <f>J166+T166</f>
        <v>473861510</v>
      </c>
      <c r="Y166" s="352">
        <f>W166/E166*100</f>
        <v>98.224852071005913</v>
      </c>
      <c r="Z166" s="352">
        <f t="shared" ref="Z166:Z174" si="44">X166/F166*100</f>
        <v>34.878020793081241</v>
      </c>
      <c r="AA166" s="353" t="s">
        <v>281</v>
      </c>
    </row>
    <row r="167" spans="1:27" ht="165" x14ac:dyDescent="0.25">
      <c r="A167" s="354"/>
      <c r="B167" s="355"/>
      <c r="C167" s="356" t="s">
        <v>167</v>
      </c>
      <c r="D167" s="357" t="s">
        <v>43</v>
      </c>
      <c r="E167" s="333">
        <v>100</v>
      </c>
      <c r="F167" s="334">
        <v>656000000</v>
      </c>
      <c r="G167" s="335"/>
      <c r="H167" s="336">
        <v>271244050</v>
      </c>
      <c r="I167" s="337">
        <v>100</v>
      </c>
      <c r="J167" s="338">
        <v>22124365</v>
      </c>
      <c r="K167" s="339">
        <f>'[1]renja 2026'!O228</f>
        <v>0</v>
      </c>
      <c r="L167" s="340">
        <v>4118220</v>
      </c>
      <c r="M167" s="341">
        <f>'[1]renja 2026'!Q228</f>
        <v>0</v>
      </c>
      <c r="N167" s="340">
        <v>16912790</v>
      </c>
      <c r="O167" s="342"/>
      <c r="P167" s="343"/>
      <c r="Q167" s="344"/>
      <c r="R167" s="345"/>
      <c r="S167" s="346">
        <f t="shared" si="43"/>
        <v>0</v>
      </c>
      <c r="T167" s="347">
        <f t="shared" si="43"/>
        <v>21031010</v>
      </c>
      <c r="U167" s="348">
        <f t="shared" ref="U167:V172" si="45">S167/I167*100</f>
        <v>0</v>
      </c>
      <c r="V167" s="349">
        <f t="shared" si="45"/>
        <v>95.058140651720407</v>
      </c>
      <c r="W167" s="350">
        <f>I167+S167</f>
        <v>100</v>
      </c>
      <c r="X167" s="351">
        <f t="shared" ref="X167:X175" si="46">J167+T167</f>
        <v>43155375</v>
      </c>
      <c r="Y167" s="352">
        <f t="shared" ref="Y167:Y169" si="47">W167/E167*100</f>
        <v>100</v>
      </c>
      <c r="Z167" s="352">
        <f t="shared" si="44"/>
        <v>6.5785632621951224</v>
      </c>
      <c r="AA167" s="353"/>
    </row>
    <row r="168" spans="1:27" ht="115.5" x14ac:dyDescent="0.25">
      <c r="A168" s="354"/>
      <c r="B168" s="355"/>
      <c r="C168" s="356" t="s">
        <v>176</v>
      </c>
      <c r="D168" s="357" t="s">
        <v>43</v>
      </c>
      <c r="E168" s="333">
        <v>94</v>
      </c>
      <c r="F168" s="334">
        <v>1368000000</v>
      </c>
      <c r="G168" s="335"/>
      <c r="H168" s="336">
        <v>1224885561</v>
      </c>
      <c r="I168" s="337">
        <v>91</v>
      </c>
      <c r="J168" s="338">
        <v>26999790</v>
      </c>
      <c r="K168" s="358">
        <f>'[1]renja 2026'!O233</f>
        <v>0</v>
      </c>
      <c r="L168" s="340"/>
      <c r="M168" s="359">
        <f>'[1]renja 2026'!Q233</f>
        <v>0</v>
      </c>
      <c r="N168" s="340">
        <v>1326000</v>
      </c>
      <c r="O168" s="342"/>
      <c r="P168" s="343"/>
      <c r="Q168" s="344"/>
      <c r="R168" s="345"/>
      <c r="S168" s="346">
        <f>(K168+M168)/2</f>
        <v>0</v>
      </c>
      <c r="T168" s="347">
        <f t="shared" si="43"/>
        <v>1326000</v>
      </c>
      <c r="U168" s="348">
        <f t="shared" si="45"/>
        <v>0</v>
      </c>
      <c r="V168" s="349">
        <f t="shared" si="45"/>
        <v>4.9111493089390699</v>
      </c>
      <c r="W168" s="350">
        <f t="shared" ref="W168:W174" si="48">I168+S168</f>
        <v>91</v>
      </c>
      <c r="X168" s="351">
        <f t="shared" si="46"/>
        <v>28325790</v>
      </c>
      <c r="Y168" s="352">
        <f t="shared" si="47"/>
        <v>96.808510638297875</v>
      </c>
      <c r="Z168" s="352">
        <f t="shared" si="44"/>
        <v>2.0705986842105264</v>
      </c>
      <c r="AA168" s="353"/>
    </row>
    <row r="169" spans="1:27" ht="115.5" x14ac:dyDescent="0.25">
      <c r="A169" s="360"/>
      <c r="B169" s="361"/>
      <c r="C169" s="356" t="s">
        <v>189</v>
      </c>
      <c r="D169" s="362" t="s">
        <v>43</v>
      </c>
      <c r="E169" s="333">
        <v>95</v>
      </c>
      <c r="F169" s="334">
        <v>607000000</v>
      </c>
      <c r="G169" s="335"/>
      <c r="H169" s="336">
        <v>84544250</v>
      </c>
      <c r="I169" s="337">
        <v>92</v>
      </c>
      <c r="J169" s="338">
        <v>35724860</v>
      </c>
      <c r="K169" s="358">
        <f>'[1]renja 2026'!O239</f>
        <v>0</v>
      </c>
      <c r="L169" s="340"/>
      <c r="M169" s="341">
        <f>'[1]renja 2026'!Q239</f>
        <v>0</v>
      </c>
      <c r="N169" s="340"/>
      <c r="O169" s="342"/>
      <c r="P169" s="343"/>
      <c r="Q169" s="344"/>
      <c r="R169" s="345"/>
      <c r="S169" s="346">
        <f t="shared" si="43"/>
        <v>0</v>
      </c>
      <c r="T169" s="347">
        <f t="shared" si="43"/>
        <v>0</v>
      </c>
      <c r="U169" s="348">
        <f t="shared" si="45"/>
        <v>0</v>
      </c>
      <c r="V169" s="349">
        <f t="shared" si="45"/>
        <v>0</v>
      </c>
      <c r="W169" s="350">
        <f t="shared" si="48"/>
        <v>92</v>
      </c>
      <c r="X169" s="351">
        <f t="shared" si="46"/>
        <v>35724860</v>
      </c>
      <c r="Y169" s="352">
        <f t="shared" si="47"/>
        <v>96.84210526315789</v>
      </c>
      <c r="Z169" s="352">
        <f t="shared" si="44"/>
        <v>5.8854794069192753</v>
      </c>
      <c r="AA169" s="353"/>
    </row>
    <row r="170" spans="1:27" ht="16.5" x14ac:dyDescent="0.3">
      <c r="A170" s="363"/>
      <c r="B170" s="364"/>
      <c r="C170" s="364"/>
      <c r="D170" s="365"/>
      <c r="E170" s="366"/>
      <c r="F170" s="367">
        <f>SUM(F166:F169)</f>
        <v>3989625000</v>
      </c>
      <c r="G170" s="368"/>
      <c r="H170" s="369">
        <f>SUM(H166:H169)</f>
        <v>2133827144</v>
      </c>
      <c r="I170" s="368"/>
      <c r="J170" s="370">
        <f>SUM(J166:J169)</f>
        <v>364134300</v>
      </c>
      <c r="K170" s="368"/>
      <c r="L170" s="370">
        <f>SUM(L166:L169)</f>
        <v>17244445</v>
      </c>
      <c r="M170" s="368"/>
      <c r="N170" s="370">
        <v>193182145</v>
      </c>
      <c r="O170" s="368"/>
      <c r="P170" s="370">
        <f>SUM(P166)</f>
        <v>0</v>
      </c>
      <c r="Q170" s="368">
        <f t="shared" ref="Q170:R170" si="49">SUM(Q166)</f>
        <v>0</v>
      </c>
      <c r="R170" s="370">
        <f t="shared" si="49"/>
        <v>0</v>
      </c>
      <c r="S170" s="368"/>
      <c r="T170" s="371">
        <f t="shared" si="43"/>
        <v>210426590</v>
      </c>
      <c r="U170" s="372"/>
      <c r="V170" s="372">
        <f t="shared" si="45"/>
        <v>57.788181448438117</v>
      </c>
      <c r="W170" s="373"/>
      <c r="X170" s="351">
        <f t="shared" si="46"/>
        <v>574560890</v>
      </c>
      <c r="Y170" s="374"/>
      <c r="Z170" s="352">
        <f t="shared" si="44"/>
        <v>14.40137581852931</v>
      </c>
      <c r="AA170" s="353" t="s">
        <v>281</v>
      </c>
    </row>
    <row r="171" spans="1:27" ht="165" x14ac:dyDescent="0.25">
      <c r="A171" s="329" t="s">
        <v>282</v>
      </c>
      <c r="B171" s="375" t="s">
        <v>205</v>
      </c>
      <c r="C171" s="376" t="s">
        <v>206</v>
      </c>
      <c r="D171" s="377" t="s">
        <v>43</v>
      </c>
      <c r="E171" s="332">
        <v>14.54</v>
      </c>
      <c r="F171" s="378">
        <v>231525000</v>
      </c>
      <c r="G171" s="335" t="s">
        <v>283</v>
      </c>
      <c r="H171" s="336">
        <v>14800000</v>
      </c>
      <c r="I171" s="337">
        <v>14.1</v>
      </c>
      <c r="J171" s="338">
        <v>1500000</v>
      </c>
      <c r="K171" s="379">
        <f>'[1]renja 2026'!O248</f>
        <v>0</v>
      </c>
      <c r="L171" s="380"/>
      <c r="M171" s="381">
        <f>'[1]renja 2026'!Q248</f>
        <v>0</v>
      </c>
      <c r="N171" s="340"/>
      <c r="O171" s="382"/>
      <c r="P171" s="383"/>
      <c r="Q171" s="384"/>
      <c r="R171" s="385"/>
      <c r="S171" s="386">
        <f>K171+M171+O171+Q171</f>
        <v>0</v>
      </c>
      <c r="T171" s="347">
        <f t="shared" si="43"/>
        <v>0</v>
      </c>
      <c r="U171" s="348">
        <f t="shared" si="45"/>
        <v>0</v>
      </c>
      <c r="V171" s="349">
        <f t="shared" si="45"/>
        <v>0</v>
      </c>
      <c r="W171" s="350">
        <f t="shared" si="48"/>
        <v>14.1</v>
      </c>
      <c r="X171" s="351">
        <f t="shared" si="46"/>
        <v>1500000</v>
      </c>
      <c r="Y171" s="352">
        <f>W171/E171*100</f>
        <v>96.97386519944979</v>
      </c>
      <c r="Z171" s="387">
        <f t="shared" si="44"/>
        <v>0.64787819889860709</v>
      </c>
      <c r="AA171" s="353" t="s">
        <v>281</v>
      </c>
    </row>
    <row r="172" spans="1:27" ht="148.5" x14ac:dyDescent="0.25">
      <c r="A172" s="360"/>
      <c r="B172" s="388"/>
      <c r="C172" s="376" t="s">
        <v>211</v>
      </c>
      <c r="D172" s="377" t="s">
        <v>43</v>
      </c>
      <c r="E172" s="332">
        <v>100</v>
      </c>
      <c r="F172" s="378">
        <v>4026305000</v>
      </c>
      <c r="G172" s="335">
        <v>100</v>
      </c>
      <c r="H172" s="336">
        <v>3708696263</v>
      </c>
      <c r="I172" s="337">
        <v>100</v>
      </c>
      <c r="J172" s="338">
        <v>16999835</v>
      </c>
      <c r="K172" s="389">
        <f>'[1]renja 2026'!O251</f>
        <v>0</v>
      </c>
      <c r="L172" s="380"/>
      <c r="M172" s="390">
        <f>'[1]renja 2026'!Q251</f>
        <v>0</v>
      </c>
      <c r="N172" s="340"/>
      <c r="O172" s="382"/>
      <c r="P172" s="383"/>
      <c r="Q172" s="384"/>
      <c r="R172" s="385"/>
      <c r="S172" s="386">
        <f t="shared" si="43"/>
        <v>0</v>
      </c>
      <c r="T172" s="347">
        <f t="shared" si="43"/>
        <v>0</v>
      </c>
      <c r="U172" s="348">
        <f t="shared" si="45"/>
        <v>0</v>
      </c>
      <c r="V172" s="349">
        <f t="shared" si="45"/>
        <v>0</v>
      </c>
      <c r="W172" s="350">
        <f t="shared" si="48"/>
        <v>100</v>
      </c>
      <c r="X172" s="351">
        <f t="shared" si="46"/>
        <v>16999835</v>
      </c>
      <c r="Y172" s="352">
        <f>W172/E172*100</f>
        <v>100</v>
      </c>
      <c r="Z172" s="387">
        <f t="shared" si="44"/>
        <v>0.4222192556202275</v>
      </c>
      <c r="AA172" s="353"/>
    </row>
    <row r="173" spans="1:27" ht="16.5" x14ac:dyDescent="0.25">
      <c r="A173" s="391"/>
      <c r="B173" s="392"/>
      <c r="C173" s="392"/>
      <c r="D173" s="393"/>
      <c r="E173" s="393"/>
      <c r="F173" s="394">
        <f>SUM(F171:F172)</f>
        <v>4257830000</v>
      </c>
      <c r="G173" s="395"/>
      <c r="H173" s="396">
        <f>SUM(H171:H172)</f>
        <v>3723496263</v>
      </c>
      <c r="I173" s="397"/>
      <c r="J173" s="396">
        <f>SUM(J171:J172)</f>
        <v>18499835</v>
      </c>
      <c r="K173" s="368"/>
      <c r="L173" s="396">
        <f>SUM(L171:L172)</f>
        <v>0</v>
      </c>
      <c r="M173" s="395"/>
      <c r="N173" s="396">
        <f>SUM(N171)</f>
        <v>0</v>
      </c>
      <c r="O173" s="395">
        <f t="shared" ref="O173:R173" si="50">SUM(O171)</f>
        <v>0</v>
      </c>
      <c r="P173" s="396">
        <f>SUM(P171)</f>
        <v>0</v>
      </c>
      <c r="Q173" s="395">
        <f t="shared" si="50"/>
        <v>0</v>
      </c>
      <c r="R173" s="396">
        <f t="shared" si="50"/>
        <v>0</v>
      </c>
      <c r="S173" s="395"/>
      <c r="T173" s="371">
        <f t="shared" si="43"/>
        <v>0</v>
      </c>
      <c r="U173" s="398"/>
      <c r="V173" s="372">
        <f>T173/J173*100</f>
        <v>0</v>
      </c>
      <c r="W173" s="396"/>
      <c r="X173" s="399">
        <f t="shared" si="46"/>
        <v>18499835</v>
      </c>
      <c r="Y173" s="396"/>
      <c r="Z173" s="352">
        <f t="shared" si="44"/>
        <v>0.4344897518219375</v>
      </c>
      <c r="AA173" s="353" t="s">
        <v>281</v>
      </c>
    </row>
    <row r="174" spans="1:27" ht="181.5" x14ac:dyDescent="0.25">
      <c r="A174" s="400" t="s">
        <v>284</v>
      </c>
      <c r="B174" s="401" t="s">
        <v>37</v>
      </c>
      <c r="C174" s="397" t="s">
        <v>38</v>
      </c>
      <c r="D174" s="402" t="s">
        <v>39</v>
      </c>
      <c r="E174" s="402">
        <v>48</v>
      </c>
      <c r="F174" s="403">
        <v>13328425500</v>
      </c>
      <c r="G174" s="404"/>
      <c r="H174" s="405">
        <v>8599560827</v>
      </c>
      <c r="I174" s="402">
        <v>47.25</v>
      </c>
      <c r="J174" s="406">
        <v>7263549243</v>
      </c>
      <c r="K174" s="389">
        <f>'[1]renja 2026'!O176</f>
        <v>0</v>
      </c>
      <c r="L174" s="406">
        <v>1849143365</v>
      </c>
      <c r="M174" s="389">
        <f>'[1]renja 2026'!Q176</f>
        <v>0</v>
      </c>
      <c r="N174" s="406">
        <v>1637735845</v>
      </c>
      <c r="O174" s="389"/>
      <c r="P174" s="406"/>
      <c r="Q174" s="389"/>
      <c r="R174" s="406"/>
      <c r="S174" s="346">
        <f>K174+M174+O174+Q174</f>
        <v>0</v>
      </c>
      <c r="T174" s="347">
        <f>L174+N174+P174+R174</f>
        <v>3486879210</v>
      </c>
      <c r="U174" s="407">
        <f>S174/I174*100</f>
        <v>0</v>
      </c>
      <c r="V174" s="349">
        <f>T174/J174*100</f>
        <v>48.005170658963479</v>
      </c>
      <c r="W174" s="350">
        <f t="shared" si="48"/>
        <v>47.25</v>
      </c>
      <c r="X174" s="351">
        <f t="shared" si="46"/>
        <v>10750428453</v>
      </c>
      <c r="Y174" s="352">
        <f>W174/E174*100</f>
        <v>98.4375</v>
      </c>
      <c r="Z174" s="387">
        <f t="shared" si="44"/>
        <v>80.657902563209731</v>
      </c>
      <c r="AA174" s="353" t="s">
        <v>281</v>
      </c>
    </row>
    <row r="175" spans="1:27" ht="16.5" x14ac:dyDescent="0.25">
      <c r="A175" s="408"/>
      <c r="B175" s="393"/>
      <c r="C175" s="393"/>
      <c r="D175" s="393"/>
      <c r="E175" s="393"/>
      <c r="F175" s="367">
        <f>F174</f>
        <v>13328425500</v>
      </c>
      <c r="G175" s="395">
        <f>G174</f>
        <v>0</v>
      </c>
      <c r="H175" s="367">
        <f>H174</f>
        <v>8599560827</v>
      </c>
      <c r="I175" s="395">
        <f>I174</f>
        <v>47.25</v>
      </c>
      <c r="J175" s="367">
        <f>SUM(J174)</f>
        <v>7263549243</v>
      </c>
      <c r="K175" s="395">
        <f>K174</f>
        <v>0</v>
      </c>
      <c r="L175" s="367">
        <f>SUM(L174)</f>
        <v>1849143365</v>
      </c>
      <c r="M175" s="395">
        <f>M174</f>
        <v>0</v>
      </c>
      <c r="N175" s="367">
        <f>SUM(N174)</f>
        <v>1637735845</v>
      </c>
      <c r="O175" s="395">
        <f>O174</f>
        <v>0</v>
      </c>
      <c r="P175" s="367">
        <f>SUM(P174)</f>
        <v>0</v>
      </c>
      <c r="Q175" s="395">
        <f>Q174</f>
        <v>0</v>
      </c>
      <c r="R175" s="367">
        <f>R174</f>
        <v>0</v>
      </c>
      <c r="S175" s="409">
        <f>K175+M175+O175+Q175</f>
        <v>0</v>
      </c>
      <c r="T175" s="371">
        <f>L175+N175+P175+R175</f>
        <v>3486879210</v>
      </c>
      <c r="U175" s="410">
        <f>S175/I175*100</f>
        <v>0</v>
      </c>
      <c r="V175" s="411">
        <f t="shared" ref="V175" si="51">T175/J175*100</f>
        <v>48.005170658963479</v>
      </c>
      <c r="W175" s="412">
        <f>I175+S175</f>
        <v>47.25</v>
      </c>
      <c r="X175" s="399">
        <f t="shared" si="46"/>
        <v>10750428453</v>
      </c>
      <c r="Y175" s="352"/>
      <c r="Z175" s="352"/>
      <c r="AA175" s="342"/>
    </row>
    <row r="176" spans="1:27" ht="16.5" x14ac:dyDescent="0.25">
      <c r="A176" s="413" t="s">
        <v>285</v>
      </c>
      <c r="B176" s="414"/>
      <c r="C176" s="414"/>
      <c r="D176" s="414"/>
      <c r="E176" s="415"/>
      <c r="F176" s="367">
        <f>F175+F173+F170</f>
        <v>21575880500</v>
      </c>
      <c r="G176" s="416">
        <v>91.8042094105665</v>
      </c>
      <c r="H176" s="367">
        <f>H175+H173+H170</f>
        <v>14456884234</v>
      </c>
      <c r="I176" s="416"/>
      <c r="J176" s="367">
        <f>J175+J173+J170</f>
        <v>7646183378</v>
      </c>
      <c r="K176" s="416"/>
      <c r="L176" s="367">
        <f>L175+L173+L170</f>
        <v>1866387810</v>
      </c>
      <c r="M176" s="417"/>
      <c r="N176" s="367">
        <f>N175+N173+N170</f>
        <v>1830917990</v>
      </c>
      <c r="O176" s="373"/>
      <c r="P176" s="367">
        <f>P175+P173+P170</f>
        <v>0</v>
      </c>
      <c r="Q176" s="418"/>
      <c r="R176" s="367">
        <f>R175+R173+R170</f>
        <v>0</v>
      </c>
      <c r="S176" s="419"/>
      <c r="T176" s="367">
        <f>T175+T173+T170</f>
        <v>3697305800</v>
      </c>
      <c r="U176" s="420">
        <f>(U166+U167+U168+U169+U171+U172+U174)/7</f>
        <v>0</v>
      </c>
      <c r="V176" s="420">
        <f>T176/J176*100</f>
        <v>48.354919274341263</v>
      </c>
      <c r="W176" s="373"/>
      <c r="X176" s="367">
        <f>J176+T176</f>
        <v>11343489178</v>
      </c>
      <c r="Y176" s="342"/>
      <c r="Z176" s="352"/>
      <c r="AA176" s="342"/>
    </row>
    <row r="177" spans="6:24" x14ac:dyDescent="0.25">
      <c r="T177" s="421"/>
    </row>
    <row r="178" spans="6:24" ht="15.75" x14ac:dyDescent="0.25">
      <c r="F178" s="422"/>
      <c r="G178" s="422"/>
      <c r="H178" s="422"/>
      <c r="I178" s="422"/>
      <c r="J178" s="422"/>
      <c r="K178" s="422"/>
      <c r="L178" s="422"/>
      <c r="N178" s="421"/>
      <c r="P178" s="292"/>
      <c r="Q178" s="292"/>
      <c r="R178" s="292"/>
      <c r="S178" s="292"/>
      <c r="T178" s="292"/>
      <c r="U178" s="292"/>
      <c r="V178" s="287" t="s">
        <v>251</v>
      </c>
      <c r="W178" s="292"/>
      <c r="X178" s="292"/>
    </row>
    <row r="179" spans="6:24" ht="15.75" x14ac:dyDescent="0.25">
      <c r="P179" s="291"/>
      <c r="Q179" s="291"/>
      <c r="R179" s="291"/>
      <c r="S179" s="291"/>
      <c r="T179" s="291"/>
      <c r="U179" s="291"/>
      <c r="V179" s="287" t="s">
        <v>252</v>
      </c>
      <c r="W179" s="291"/>
      <c r="X179" s="291"/>
    </row>
    <row r="180" spans="6:24" ht="15.75" x14ac:dyDescent="0.25">
      <c r="L180" s="423"/>
      <c r="N180" s="424"/>
      <c r="P180" s="291"/>
      <c r="Q180" s="291"/>
      <c r="R180" s="291"/>
      <c r="S180" s="291"/>
      <c r="T180" s="291"/>
      <c r="U180" s="291"/>
      <c r="V180" s="292" t="s">
        <v>253</v>
      </c>
      <c r="W180" s="291"/>
      <c r="X180" s="291"/>
    </row>
    <row r="181" spans="6:24" ht="15.75" x14ac:dyDescent="0.25">
      <c r="L181" s="423"/>
      <c r="N181" s="423"/>
      <c r="P181" s="292"/>
      <c r="Q181" s="291"/>
      <c r="R181" s="291"/>
      <c r="S181" s="291"/>
      <c r="T181" s="291"/>
      <c r="U181" s="291"/>
      <c r="V181" s="292" t="s">
        <v>254</v>
      </c>
      <c r="W181" s="299"/>
      <c r="X181" s="299"/>
    </row>
    <row r="182" spans="6:24" ht="15.75" x14ac:dyDescent="0.25">
      <c r="P182" s="292"/>
      <c r="Q182" s="292"/>
      <c r="R182" s="292"/>
      <c r="S182" s="292"/>
      <c r="T182" s="292"/>
      <c r="U182" s="292"/>
      <c r="V182" s="292" t="s">
        <v>255</v>
      </c>
      <c r="W182" s="292"/>
      <c r="X182" s="292"/>
    </row>
    <row r="183" spans="6:24" ht="18" x14ac:dyDescent="0.25">
      <c r="P183" s="292"/>
      <c r="Q183" s="292"/>
      <c r="R183" s="292"/>
      <c r="S183" s="292"/>
      <c r="T183" s="292"/>
      <c r="U183" s="292"/>
      <c r="V183" s="294"/>
      <c r="W183" s="292"/>
      <c r="X183" s="292"/>
    </row>
    <row r="184" spans="6:24" ht="18" x14ac:dyDescent="0.25">
      <c r="P184" s="425"/>
      <c r="Q184" s="425"/>
      <c r="R184" s="425"/>
      <c r="S184" s="425"/>
      <c r="T184" s="425"/>
      <c r="U184" s="425"/>
      <c r="V184" s="294"/>
      <c r="W184" s="425"/>
      <c r="X184" s="425"/>
    </row>
    <row r="185" spans="6:24" ht="18" x14ac:dyDescent="0.25">
      <c r="P185" s="292"/>
      <c r="Q185" s="292"/>
      <c r="R185" s="292"/>
      <c r="S185" s="292"/>
      <c r="T185" s="292"/>
      <c r="U185" s="292"/>
      <c r="V185" s="295"/>
      <c r="W185" s="292"/>
      <c r="X185" s="292"/>
    </row>
    <row r="186" spans="6:24" ht="15.75" x14ac:dyDescent="0.25">
      <c r="P186" s="292"/>
      <c r="Q186" s="292"/>
      <c r="R186" s="292"/>
      <c r="S186" s="292"/>
      <c r="T186" s="292"/>
      <c r="U186" s="292"/>
      <c r="V186" s="297" t="s">
        <v>256</v>
      </c>
      <c r="W186" s="292"/>
      <c r="X186" s="292"/>
    </row>
    <row r="187" spans="6:24" ht="18" x14ac:dyDescent="0.25">
      <c r="P187" s="11"/>
      <c r="Q187" s="11"/>
      <c r="R187" s="11"/>
      <c r="S187" s="11"/>
      <c r="T187" s="11"/>
      <c r="U187" s="11"/>
      <c r="V187" s="294"/>
      <c r="W187" s="11"/>
      <c r="X187" s="11"/>
    </row>
    <row r="188" spans="6:24" ht="18" x14ac:dyDescent="0.25">
      <c r="V188" s="294"/>
    </row>
    <row r="189" spans="6:24" ht="18" x14ac:dyDescent="0.25">
      <c r="V189" s="294"/>
    </row>
    <row r="190" spans="6:24" ht="15.75" x14ac:dyDescent="0.25">
      <c r="V190" s="292" t="s">
        <v>257</v>
      </c>
    </row>
    <row r="191" spans="6:24" ht="15.75" x14ac:dyDescent="0.25">
      <c r="V191" s="292" t="s">
        <v>258</v>
      </c>
    </row>
    <row r="192" spans="6:24" ht="15.75" x14ac:dyDescent="0.25">
      <c r="V192" s="292" t="s">
        <v>259</v>
      </c>
    </row>
  </sheetData>
  <mergeCells count="89">
    <mergeCell ref="A171:A172"/>
    <mergeCell ref="B171:B172"/>
    <mergeCell ref="A176:E176"/>
    <mergeCell ref="W163:X163"/>
    <mergeCell ref="Y163:Z163"/>
    <mergeCell ref="AA163:AA164"/>
    <mergeCell ref="D164:E164"/>
    <mergeCell ref="A165:X165"/>
    <mergeCell ref="A166:A169"/>
    <mergeCell ref="B166:B169"/>
    <mergeCell ref="K163:L163"/>
    <mergeCell ref="M163:N163"/>
    <mergeCell ref="O163:P163"/>
    <mergeCell ref="Q163:R163"/>
    <mergeCell ref="S163:T163"/>
    <mergeCell ref="U163:V163"/>
    <mergeCell ref="A163:A164"/>
    <mergeCell ref="B163:B164"/>
    <mergeCell ref="C163:C164"/>
    <mergeCell ref="D163:F163"/>
    <mergeCell ref="G163:H163"/>
    <mergeCell ref="I163:J163"/>
    <mergeCell ref="U161:V162"/>
    <mergeCell ref="W161:X162"/>
    <mergeCell ref="Y161:Z162"/>
    <mergeCell ref="AA161:AA162"/>
    <mergeCell ref="K162:L162"/>
    <mergeCell ref="M162:N162"/>
    <mergeCell ref="O162:P162"/>
    <mergeCell ref="Q162:R162"/>
    <mergeCell ref="A158:AA158"/>
    <mergeCell ref="A159:AA159"/>
    <mergeCell ref="A161:A162"/>
    <mergeCell ref="B161:B162"/>
    <mergeCell ref="C161:C162"/>
    <mergeCell ref="D161:F162"/>
    <mergeCell ref="G161:H162"/>
    <mergeCell ref="I161:J162"/>
    <mergeCell ref="K161:R161"/>
    <mergeCell ref="S161:T162"/>
    <mergeCell ref="J134:Q134"/>
    <mergeCell ref="J135:R135"/>
    <mergeCell ref="J136:R136"/>
    <mergeCell ref="J137:R137"/>
    <mergeCell ref="J138:R138"/>
    <mergeCell ref="A157:AA157"/>
    <mergeCell ref="A110:AE110"/>
    <mergeCell ref="A112:AE112"/>
    <mergeCell ref="B113:AE113"/>
    <mergeCell ref="B114:AE114"/>
    <mergeCell ref="A116:AE116"/>
    <mergeCell ref="A124:AE124"/>
    <mergeCell ref="AC16:AD16"/>
    <mergeCell ref="F17:AE17"/>
    <mergeCell ref="F18:AE18"/>
    <mergeCell ref="A99:M99"/>
    <mergeCell ref="A100:AE100"/>
    <mergeCell ref="A108:AE108"/>
    <mergeCell ref="Q16:R16"/>
    <mergeCell ref="S16:T16"/>
    <mergeCell ref="U16:V16"/>
    <mergeCell ref="W16:X16"/>
    <mergeCell ref="Y16:Z16"/>
    <mergeCell ref="AA16:AB16"/>
    <mergeCell ref="A16:E16"/>
    <mergeCell ref="G16:H16"/>
    <mergeCell ref="I16:J16"/>
    <mergeCell ref="K16:L16"/>
    <mergeCell ref="M16:N16"/>
    <mergeCell ref="O16:P16"/>
    <mergeCell ref="W13:X14"/>
    <mergeCell ref="Y13:Z14"/>
    <mergeCell ref="AA13:AB14"/>
    <mergeCell ref="AC13:AD14"/>
    <mergeCell ref="AE13:AE15"/>
    <mergeCell ref="O14:P14"/>
    <mergeCell ref="Q14:R14"/>
    <mergeCell ref="S14:T14"/>
    <mergeCell ref="U14:V14"/>
    <mergeCell ref="E1:AE1"/>
    <mergeCell ref="E2:AE2"/>
    <mergeCell ref="A13:E15"/>
    <mergeCell ref="F13:F15"/>
    <mergeCell ref="G13:G15"/>
    <mergeCell ref="H13:H15"/>
    <mergeCell ref="I13:J14"/>
    <mergeCell ref="K13:L14"/>
    <mergeCell ref="M13:N14"/>
    <mergeCell ref="O13:V1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2026-07-14T06:55:45Z</dcterms:created>
  <dcterms:modified xsi:type="dcterms:W3CDTF">2026-07-14T06:58:40Z</dcterms:modified>
</cp:coreProperties>
</file>